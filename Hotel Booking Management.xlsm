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vinash\Desktop\"/>
    </mc:Choice>
  </mc:AlternateContent>
  <xr:revisionPtr revIDLastSave="0" documentId="13_ncr:1_{0E2E655D-5580-44B2-BCD1-94E7DC379B2C}" xr6:coauthVersionLast="47" xr6:coauthVersionMax="47" xr10:uidLastSave="{00000000-0000-0000-0000-000000000000}"/>
  <bookViews>
    <workbookView xWindow="-120" yWindow="-120" windowWidth="29040" windowHeight="15840" xr2:uid="{107CE186-F938-4CB2-830C-4A7CC5C760BA}"/>
  </bookViews>
  <sheets>
    <sheet name="Hotel" sheetId="6" r:id="rId1"/>
    <sheet name="Data" sheetId="2" r:id="rId2"/>
    <sheet name="Invoice" sheetId="3" r:id="rId3"/>
    <sheet name="Analysis" sheetId="8" r:id="rId4"/>
  </sheets>
  <definedNames>
    <definedName name="Additional_Cost">Hotel!$Q$14</definedName>
    <definedName name="Advance">Hotel!$Q$12</definedName>
    <definedName name="Amount">#REF!</definedName>
    <definedName name="Arrival">Hotel!$J$10</definedName>
    <definedName name="Client">#REF!</definedName>
    <definedName name="Days">Hotel!$J$12</definedName>
    <definedName name="Days_Cost">Hotel!$Q$10</definedName>
    <definedName name="Email_Id">Hotel!$Y$8</definedName>
    <definedName name="End">Hotel!$J$14</definedName>
    <definedName name="Home_Address">Hotel!$Y$10</definedName>
    <definedName name="Identity_Proof">Hotel!$Y$16</definedName>
    <definedName name="Lastmodi">Hotel!$AD$14</definedName>
    <definedName name="Name">Hotel!$J$8</definedName>
    <definedName name="pDate">#REF!</definedName>
    <definedName name="Phone_Number">Hotel!$Y$14</definedName>
    <definedName name="Pincode">Hotel!$Y$12</definedName>
    <definedName name="RoomNo">Hotel!$Q$8</definedName>
    <definedName name="Status">Hotel!$J$16</definedName>
    <definedName name="Total">Hotel!$Q$16</definedName>
    <definedName name="UpdateStatus">Hotel!$Z$22</definedName>
  </definedNames>
  <calcPr calcId="181029"/>
  <pivotCaches>
    <pivotCache cacheId="9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3" i="8" l="1"/>
  <c r="Q4" i="8"/>
  <c r="Q5" i="8"/>
  <c r="Q6" i="8"/>
  <c r="Q7" i="8"/>
  <c r="Q8" i="8"/>
  <c r="Q9" i="8"/>
  <c r="Q10" i="8"/>
  <c r="Q11" i="8"/>
  <c r="Q12" i="8"/>
  <c r="Q13" i="8"/>
  <c r="Q14" i="8"/>
  <c r="Q15" i="8"/>
  <c r="Q16" i="8"/>
  <c r="Q17" i="8"/>
  <c r="Q18" i="8"/>
  <c r="Q19" i="8"/>
  <c r="Q20" i="8"/>
  <c r="Q21" i="8"/>
  <c r="Q22" i="8"/>
  <c r="Q23" i="8"/>
  <c r="Q24" i="8"/>
  <c r="Q25" i="8"/>
  <c r="Q26" i="8"/>
  <c r="Q27" i="8"/>
  <c r="Q28" i="8"/>
  <c r="Q29" i="8"/>
  <c r="Q30" i="8"/>
  <c r="Q31" i="8"/>
  <c r="Q32" i="8"/>
  <c r="Q33" i="8"/>
  <c r="Q2" i="8"/>
  <c r="AH14" i="6"/>
  <c r="H36" i="3"/>
  <c r="H31" i="3"/>
  <c r="H30" i="3"/>
  <c r="H29" i="3"/>
  <c r="H28" i="3"/>
  <c r="H27" i="3"/>
  <c r="H26" i="3"/>
  <c r="H25" i="3"/>
  <c r="H24" i="3"/>
  <c r="H23" i="3"/>
  <c r="H22" i="3"/>
  <c r="H32" i="3" l="1"/>
  <c r="H37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Avinash</author>
  </authors>
  <commentList>
    <comment ref="U6" authorId="0" shapeId="0" xr:uid="{7AA80AD9-CE28-4A47-8AC3-FAD8B9B47A9A}">
      <text>
        <r>
          <rPr>
            <b/>
            <sz val="9"/>
            <color indexed="81"/>
            <rFont val="Tahoma"/>
            <family val="2"/>
          </rPr>
          <t>Avinash:</t>
        </r>
        <r>
          <rPr>
            <sz val="9"/>
            <color indexed="81"/>
            <rFont val="Tahoma"/>
            <family val="2"/>
          </rPr>
          <t xml:space="preserve">
Go to the Invoice Sheet to View</t>
        </r>
      </text>
    </comment>
    <comment ref="V6" authorId="0" shapeId="0" xr:uid="{05C226FF-1895-4D4C-A07C-F4B37EE547E1}">
      <text>
        <r>
          <rPr>
            <b/>
            <sz val="9"/>
            <color indexed="81"/>
            <rFont val="Tahoma"/>
            <family val="2"/>
          </rPr>
          <t>Avinash:</t>
        </r>
        <r>
          <rPr>
            <sz val="9"/>
            <color indexed="81"/>
            <rFont val="Tahoma"/>
            <family val="2"/>
          </rPr>
          <t xml:space="preserve">
Go to the Invoice Sheet to View</t>
        </r>
      </text>
    </comment>
    <comment ref="W6" authorId="0" shapeId="0" xr:uid="{40DC3CCD-FA8E-4357-A30D-84C97AA0156C}">
      <text>
        <r>
          <rPr>
            <b/>
            <sz val="9"/>
            <color indexed="81"/>
            <rFont val="Tahoma"/>
            <family val="2"/>
          </rPr>
          <t>Avinash:</t>
        </r>
        <r>
          <rPr>
            <sz val="9"/>
            <color indexed="81"/>
            <rFont val="Tahoma"/>
            <family val="2"/>
          </rPr>
          <t xml:space="preserve">
Go to the Invoice Sheet to View</t>
        </r>
      </text>
    </comment>
    <comment ref="X6" authorId="0" shapeId="0" xr:uid="{646AFFE2-D2AA-4E9C-8FDA-E401C4F14A7F}">
      <text>
        <r>
          <rPr>
            <b/>
            <sz val="9"/>
            <color indexed="81"/>
            <rFont val="Tahoma"/>
            <family val="2"/>
          </rPr>
          <t>Avinash:</t>
        </r>
        <r>
          <rPr>
            <sz val="9"/>
            <color indexed="81"/>
            <rFont val="Tahoma"/>
            <family val="2"/>
          </rPr>
          <t xml:space="preserve">
Go to the Invoice Sheet to View
</t>
        </r>
      </text>
    </comment>
  </commentList>
</comments>
</file>

<file path=xl/sharedStrings.xml><?xml version="1.0" encoding="utf-8"?>
<sst xmlns="http://schemas.openxmlformats.org/spreadsheetml/2006/main" count="477" uniqueCount="114">
  <si>
    <t>Avinash</t>
  </si>
  <si>
    <t>Hotel Management System</t>
  </si>
  <si>
    <t>Name:</t>
  </si>
  <si>
    <t>Arrival:</t>
  </si>
  <si>
    <t xml:space="preserve">End: </t>
  </si>
  <si>
    <t>Status:</t>
  </si>
  <si>
    <t xml:space="preserve">E-mail : </t>
  </si>
  <si>
    <t xml:space="preserve">Pincode: </t>
  </si>
  <si>
    <t xml:space="preserve">Home Address: </t>
  </si>
  <si>
    <t>Identity Proof:</t>
  </si>
  <si>
    <t>Phone:</t>
  </si>
  <si>
    <t>Unconfirmed</t>
  </si>
  <si>
    <t>Confirmed</t>
  </si>
  <si>
    <t>Cancelled</t>
  </si>
  <si>
    <t>Paid</t>
  </si>
  <si>
    <t xml:space="preserve">Date: </t>
  </si>
  <si>
    <t>Tuesday</t>
  </si>
  <si>
    <t>Wednesday</t>
  </si>
  <si>
    <t>Thursday</t>
  </si>
  <si>
    <t>Friday</t>
  </si>
  <si>
    <t>Saturday</t>
  </si>
  <si>
    <t>Sunday</t>
  </si>
  <si>
    <t>Monday</t>
  </si>
  <si>
    <t>Advance:</t>
  </si>
  <si>
    <t>Room No:</t>
  </si>
  <si>
    <t>Name</t>
  </si>
  <si>
    <t>Arrival</t>
  </si>
  <si>
    <t>Days</t>
  </si>
  <si>
    <t>End</t>
  </si>
  <si>
    <t>Status</t>
  </si>
  <si>
    <t>Room No</t>
  </si>
  <si>
    <t>Advance</t>
  </si>
  <si>
    <t>Total</t>
  </si>
  <si>
    <t>E-mail Id</t>
  </si>
  <si>
    <t>Home Address</t>
  </si>
  <si>
    <t>Pincode</t>
  </si>
  <si>
    <t>Phone Number</t>
  </si>
  <si>
    <t>Identity Proof</t>
  </si>
  <si>
    <t xml:space="preserve">Last Data Modified: </t>
  </si>
  <si>
    <t>Mon</t>
  </si>
  <si>
    <t>Eve</t>
  </si>
  <si>
    <t xml:space="preserve"> INVOICE</t>
  </si>
  <si>
    <t>BILL TO</t>
  </si>
  <si>
    <t>DESCRIPTION</t>
  </si>
  <si>
    <t>TOTAL</t>
  </si>
  <si>
    <t>Remarks / Payment Instructions:</t>
  </si>
  <si>
    <t>SUBTOTAL</t>
  </si>
  <si>
    <t>DISCOUNT</t>
  </si>
  <si>
    <t>SUBTOTAL LESS DISCOUNT</t>
  </si>
  <si>
    <t>TAX RATE</t>
  </si>
  <si>
    <t>TOTAL TAX</t>
  </si>
  <si>
    <t>test@gmail.com</t>
  </si>
  <si>
    <t>91- 6283167405</t>
  </si>
  <si>
    <t>Hotel Rooms</t>
  </si>
  <si>
    <t>Place</t>
  </si>
  <si>
    <t>Avinash@gmail.com</t>
  </si>
  <si>
    <t>Secotor 14A, India</t>
  </si>
  <si>
    <t>Defense ID card</t>
  </si>
  <si>
    <t>AC/Non AC</t>
  </si>
  <si>
    <t>AC/Non</t>
  </si>
  <si>
    <t xml:space="preserve">Invoice Number: </t>
  </si>
  <si>
    <t>Last Data Modified</t>
  </si>
  <si>
    <t>Days:</t>
  </si>
  <si>
    <t>Cost</t>
  </si>
  <si>
    <t xml:space="preserve">Status:  </t>
  </si>
  <si>
    <t xml:space="preserve">Room No:  </t>
  </si>
  <si>
    <t>Checked Out</t>
  </si>
  <si>
    <t>AC</t>
  </si>
  <si>
    <t>Anand</t>
  </si>
  <si>
    <t>saket</t>
  </si>
  <si>
    <t>Aman</t>
  </si>
  <si>
    <t>Nayan</t>
  </si>
  <si>
    <t>Danish</t>
  </si>
  <si>
    <t>Manu</t>
  </si>
  <si>
    <t>Tushar</t>
  </si>
  <si>
    <t>Kartik</t>
  </si>
  <si>
    <t>Non AC</t>
  </si>
  <si>
    <t>test2@gmail.com</t>
  </si>
  <si>
    <t>Aryan</t>
  </si>
  <si>
    <t>Dola</t>
  </si>
  <si>
    <t>Tyagi</t>
  </si>
  <si>
    <t>Tanshaye</t>
  </si>
  <si>
    <t xml:space="preserve">Man mohan </t>
  </si>
  <si>
    <t>Chandra</t>
  </si>
  <si>
    <t xml:space="preserve">Shanu </t>
  </si>
  <si>
    <t>Raj</t>
  </si>
  <si>
    <t xml:space="preserve">Sunil </t>
  </si>
  <si>
    <t>Sahil</t>
  </si>
  <si>
    <t>Vishal</t>
  </si>
  <si>
    <t>Ankit</t>
  </si>
  <si>
    <t>Piyush</t>
  </si>
  <si>
    <t xml:space="preserve">Amount Left: </t>
  </si>
  <si>
    <t>Amount Left</t>
  </si>
  <si>
    <t>Ahmed</t>
  </si>
  <si>
    <t>Shanshank</t>
  </si>
  <si>
    <t>Pratab</t>
  </si>
  <si>
    <t>Sharma</t>
  </si>
  <si>
    <t>Patel</t>
  </si>
  <si>
    <t>Kiran</t>
  </si>
  <si>
    <t>Mittal</t>
  </si>
  <si>
    <t>Harsh</t>
  </si>
  <si>
    <t>Sourav</t>
  </si>
  <si>
    <t>Sanjit</t>
  </si>
  <si>
    <t>Sum of Cost</t>
  </si>
  <si>
    <t>Row Labels</t>
  </si>
  <si>
    <t>Grand Total</t>
  </si>
  <si>
    <t>Aug</t>
  </si>
  <si>
    <t>Sep</t>
  </si>
  <si>
    <t>Sanket</t>
  </si>
  <si>
    <t>test@</t>
  </si>
  <si>
    <t>IIT</t>
  </si>
  <si>
    <t>Driving License</t>
  </si>
  <si>
    <t>Pushar</t>
  </si>
  <si>
    <t>Developed by- Avinash Chandra Singh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</si>
</sst>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 [$₹-4009]\ * #,##0.00_ ;_ [$₹-4009]\ * \-#,##0.00_ ;_ [$₹-4009]\ * &quot;-&quot;??_ ;_ @_ "/>
    <numFmt numFmtId="165" formatCode="mmmm\ yyyy"/>
    <numFmt numFmtId="166" formatCode="dd"/>
    <numFmt numFmtId="167" formatCode="dd\ mmmm\ yyyy"/>
    <numFmt numFmtId="168" formatCode="m/d/yyyy"/>
    <numFmt numFmtId="169" formatCode="mm/dd/yy"/>
    <numFmt numFmtId="170" formatCode="_-&quot;$&quot;* #,##0.00_-;\-&quot;$&quot;* #,##0.00_-;_-&quot;$&quot;* &quot;-&quot;??_-;_-@"/>
    <numFmt numFmtId="171" formatCode="dd/mm/yyyy\ hh:mm:ss"/>
  </numFmts>
  <fonts count="39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1"/>
      <name val="Bookman Old Style"/>
      <family val="1"/>
    </font>
    <font>
      <sz val="11"/>
      <color theme="0" tint="-0.34998626667073579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0000"/>
      <name val="Roboto"/>
    </font>
    <font>
      <b/>
      <sz val="20"/>
      <color rgb="FFA5A5A5"/>
      <name val="Roboto"/>
    </font>
    <font>
      <b/>
      <sz val="22"/>
      <color rgb="FF4472C4"/>
      <name val="Roboto"/>
    </font>
    <font>
      <sz val="11"/>
      <color rgb="FFFFFFFF"/>
      <name val="Roboto"/>
    </font>
    <font>
      <b/>
      <sz val="9"/>
      <color rgb="FF1F3864"/>
      <name val="Roboto"/>
    </font>
    <font>
      <sz val="10"/>
      <color rgb="FF000000"/>
      <name val="Roboto"/>
    </font>
    <font>
      <sz val="11"/>
      <color rgb="FF0070C0"/>
      <name val="Roboto"/>
    </font>
    <font>
      <i/>
      <sz val="9"/>
      <color rgb="FF333F4F"/>
      <name val="Roboto"/>
    </font>
    <font>
      <sz val="11"/>
      <color rgb="FF1F3864"/>
      <name val="Roboto"/>
    </font>
    <font>
      <b/>
      <sz val="11"/>
      <color rgb="FF1F3864"/>
      <name val="Roboto"/>
    </font>
    <font>
      <b/>
      <sz val="12"/>
      <color rgb="FF1F3864"/>
      <name val="Roboto"/>
    </font>
    <font>
      <u/>
      <sz val="11"/>
      <color theme="10"/>
      <name val="Modern Love"/>
      <family val="5"/>
    </font>
    <font>
      <sz val="16"/>
      <color rgb="FF333F4F"/>
      <name val="Rockwell Condensed"/>
      <family val="1"/>
    </font>
    <font>
      <sz val="24"/>
      <color theme="0"/>
      <name val="Rockwell"/>
      <family val="1"/>
    </font>
    <font>
      <b/>
      <sz val="12"/>
      <color rgb="FF1F3864"/>
      <name val="Rockwell"/>
      <family val="1"/>
    </font>
    <font>
      <sz val="12"/>
      <color rgb="FF000000"/>
      <name val="Rockwell"/>
      <family val="1"/>
    </font>
    <font>
      <sz val="10"/>
      <color rgb="FF000000"/>
      <name val="Rockwell"/>
      <family val="1"/>
    </font>
    <font>
      <b/>
      <sz val="9"/>
      <color rgb="FFFFFFFF"/>
      <name val="Rockwell"/>
      <family val="1"/>
    </font>
    <font>
      <sz val="10"/>
      <name val="Rockwell"/>
      <family val="1"/>
    </font>
    <font>
      <sz val="9"/>
      <color rgb="FF000000"/>
      <name val="Rockwell"/>
      <family val="1"/>
    </font>
    <font>
      <b/>
      <sz val="12"/>
      <color rgb="FF333F4F"/>
      <name val="Rockwell"/>
      <family val="1"/>
    </font>
    <font>
      <b/>
      <sz val="8"/>
      <color rgb="FF333F4F"/>
      <name val="Rockwell"/>
      <family val="1"/>
    </font>
    <font>
      <sz val="11"/>
      <color theme="1"/>
      <name val="Rockwell"/>
      <family val="1"/>
    </font>
    <font>
      <sz val="18"/>
      <color rgb="FF333F4F"/>
      <name val="Rockwell"/>
      <family val="1"/>
    </font>
    <font>
      <b/>
      <sz val="12"/>
      <name val="Rockwell"/>
      <family val="1"/>
    </font>
    <font>
      <sz val="10"/>
      <color rgb="FF000000"/>
      <name val="Rockwall"/>
    </font>
    <font>
      <sz val="12"/>
      <color rgb="FF000000"/>
      <name val="Rockwall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1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</patternFill>
    </fill>
    <fill>
      <patternFill patternType="solid">
        <fgColor rgb="FF3C78D8"/>
        <bgColor rgb="FF3C78D8"/>
      </patternFill>
    </fill>
    <fill>
      <patternFill patternType="solid">
        <fgColor rgb="FFF3F3F3"/>
        <bgColor rgb="FFF3F3F3"/>
      </patternFill>
    </fill>
    <fill>
      <patternFill patternType="solid">
        <fgColor theme="0"/>
      </patternFill>
    </fill>
    <fill>
      <patternFill patternType="solid">
        <fgColor theme="0"/>
        <bgColor rgb="FF3C78D8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1"/>
      </left>
      <right/>
      <top style="thin">
        <color theme="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theme="0" tint="-0.24994659260841701"/>
      </right>
      <top style="thin">
        <color theme="1"/>
      </top>
      <bottom style="thin">
        <color theme="0" tint="-0.24994659260841701"/>
      </bottom>
      <diagonal/>
    </border>
    <border>
      <left/>
      <right/>
      <top style="thin">
        <color theme="1"/>
      </top>
      <bottom style="thin">
        <color theme="0" tint="-0.24994659260841701"/>
      </bottom>
      <diagonal/>
    </border>
    <border>
      <left/>
      <right style="thin">
        <color theme="1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1"/>
      </left>
      <right/>
      <top style="thin">
        <color indexed="64"/>
      </top>
      <bottom/>
      <diagonal/>
    </border>
    <border>
      <left/>
      <right style="thin">
        <color theme="0" tint="-0.2499465926084170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BFBFBF"/>
      </bottom>
      <diagonal/>
    </border>
  </borders>
  <cellStyleXfs count="3">
    <xf numFmtId="0" fontId="0" fillId="0" borderId="0"/>
    <xf numFmtId="0" fontId="6" fillId="0" borderId="0" applyNumberFormat="0" applyFill="0" applyBorder="0" applyAlignment="0" applyProtection="0"/>
    <xf numFmtId="0" fontId="9" fillId="13" borderId="0" applyNumberFormat="0" applyBorder="0" applyAlignment="0" applyProtection="0"/>
  </cellStyleXfs>
  <cellXfs count="194">
    <xf numFmtId="0" fontId="0" fillId="0" borderId="0" xfId="0"/>
    <xf numFmtId="0" fontId="0" fillId="0" borderId="0" xfId="0" applyBorder="1"/>
    <xf numFmtId="0" fontId="0" fillId="0" borderId="0" xfId="0" applyBorder="1" applyAlignment="1"/>
    <xf numFmtId="167" fontId="0" fillId="0" borderId="0" xfId="0" applyNumberFormat="1"/>
    <xf numFmtId="0" fontId="0" fillId="0" borderId="1" xfId="0" applyBorder="1" applyAlignment="1">
      <alignment horizontal="right" vertical="center"/>
    </xf>
    <xf numFmtId="0" fontId="14" fillId="0" borderId="0" xfId="0" applyFont="1" applyBorder="1" applyAlignment="1">
      <alignment horizontal="left" vertical="center"/>
    </xf>
    <xf numFmtId="0" fontId="18" fillId="0" borderId="0" xfId="0" applyFont="1" applyBorder="1" applyAlignment="1">
      <alignment vertical="center"/>
    </xf>
    <xf numFmtId="0" fontId="10" fillId="0" borderId="0" xfId="0" applyFont="1" applyBorder="1" applyAlignment="1">
      <alignment vertical="center"/>
    </xf>
    <xf numFmtId="0" fontId="13" fillId="0" borderId="0" xfId="0" applyFont="1" applyBorder="1" applyAlignment="1">
      <alignment horizontal="center" vertical="center"/>
    </xf>
    <xf numFmtId="169" fontId="15" fillId="0" borderId="0" xfId="0" applyNumberFormat="1" applyFont="1" applyBorder="1" applyAlignment="1">
      <alignment horizontal="center" vertical="center"/>
    </xf>
    <xf numFmtId="14" fontId="15" fillId="0" borderId="0" xfId="0" applyNumberFormat="1" applyFont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6" fillId="0" borderId="0" xfId="0" applyFont="1" applyBorder="1" applyAlignment="1">
      <alignment horizontal="left" vertical="center"/>
    </xf>
    <xf numFmtId="0" fontId="15" fillId="0" borderId="0" xfId="0" applyFont="1" applyBorder="1" applyAlignment="1">
      <alignment horizontal="left" vertical="center"/>
    </xf>
    <xf numFmtId="0" fontId="15" fillId="0" borderId="0" xfId="0" applyFont="1" applyBorder="1" applyAlignment="1">
      <alignment vertical="center"/>
    </xf>
    <xf numFmtId="0" fontId="9" fillId="16" borderId="0" xfId="2" applyFill="1" applyBorder="1" applyAlignment="1">
      <alignment vertical="center"/>
    </xf>
    <xf numFmtId="0" fontId="11" fillId="17" borderId="0" xfId="0" applyFont="1" applyFill="1" applyBorder="1" applyAlignment="1">
      <alignment vertical="center"/>
    </xf>
    <xf numFmtId="0" fontId="12" fillId="17" borderId="0" xfId="0" applyFont="1" applyFill="1" applyBorder="1" applyAlignment="1">
      <alignment vertical="center"/>
    </xf>
    <xf numFmtId="0" fontId="12" fillId="17" borderId="0" xfId="0" applyFont="1" applyFill="1" applyBorder="1" applyAlignment="1">
      <alignment horizontal="right" vertical="center"/>
    </xf>
    <xf numFmtId="0" fontId="9" fillId="16" borderId="0" xfId="2" applyFill="1" applyBorder="1" applyAlignment="1">
      <alignment horizontal="right" vertical="center"/>
    </xf>
    <xf numFmtId="0" fontId="11" fillId="7" borderId="0" xfId="0" applyFont="1" applyFill="1" applyBorder="1" applyAlignment="1">
      <alignment vertical="center"/>
    </xf>
    <xf numFmtId="0" fontId="12" fillId="7" borderId="0" xfId="0" applyFont="1" applyFill="1" applyBorder="1" applyAlignment="1">
      <alignment vertical="center"/>
    </xf>
    <xf numFmtId="0" fontId="12" fillId="7" borderId="0" xfId="0" applyFont="1" applyFill="1" applyBorder="1" applyAlignment="1">
      <alignment horizontal="right" vertical="center"/>
    </xf>
    <xf numFmtId="0" fontId="9" fillId="13" borderId="13" xfId="2" applyBorder="1" applyAlignment="1">
      <alignment vertical="center"/>
    </xf>
    <xf numFmtId="0" fontId="9" fillId="13" borderId="13" xfId="2" applyBorder="1"/>
    <xf numFmtId="0" fontId="9" fillId="13" borderId="13" xfId="2" applyBorder="1" applyAlignment="1">
      <alignment horizontal="center" vertical="center"/>
    </xf>
    <xf numFmtId="0" fontId="9" fillId="13" borderId="21" xfId="2" applyBorder="1"/>
    <xf numFmtId="0" fontId="9" fillId="13" borderId="14" xfId="2" applyBorder="1"/>
    <xf numFmtId="0" fontId="9" fillId="13" borderId="1" xfId="2" applyBorder="1"/>
    <xf numFmtId="0" fontId="9" fillId="13" borderId="21" xfId="2" applyBorder="1" applyAlignment="1">
      <alignment horizontal="right" vertical="center" wrapText="1"/>
    </xf>
    <xf numFmtId="0" fontId="9" fillId="13" borderId="14" xfId="2" applyBorder="1" applyAlignment="1">
      <alignment horizontal="center" vertical="center"/>
    </xf>
    <xf numFmtId="14" fontId="9" fillId="13" borderId="14" xfId="2" applyNumberFormat="1" applyBorder="1" applyAlignment="1">
      <alignment horizontal="center" vertical="center"/>
    </xf>
    <xf numFmtId="0" fontId="9" fillId="13" borderId="14" xfId="2" applyBorder="1" applyAlignment="1">
      <alignment horizontal="right" vertical="top"/>
    </xf>
    <xf numFmtId="0" fontId="9" fillId="13" borderId="14" xfId="2" applyBorder="1" applyAlignment="1">
      <alignment vertical="center"/>
    </xf>
    <xf numFmtId="0" fontId="9" fillId="13" borderId="14" xfId="2" applyBorder="1" applyAlignment="1">
      <alignment horizontal="left" vertical="center"/>
    </xf>
    <xf numFmtId="2" fontId="9" fillId="13" borderId="14" xfId="2" applyNumberFormat="1" applyBorder="1" applyAlignment="1">
      <alignment horizontal="right" vertical="center"/>
    </xf>
    <xf numFmtId="2" fontId="9" fillId="13" borderId="14" xfId="2" applyNumberFormat="1" applyBorder="1" applyAlignment="1">
      <alignment vertical="center"/>
    </xf>
    <xf numFmtId="10" fontId="9" fillId="13" borderId="14" xfId="2" applyNumberFormat="1" applyBorder="1" applyAlignment="1">
      <alignment vertical="center"/>
    </xf>
    <xf numFmtId="4" fontId="9" fillId="13" borderId="14" xfId="2" applyNumberFormat="1" applyBorder="1" applyAlignment="1">
      <alignment vertical="center"/>
    </xf>
    <xf numFmtId="170" fontId="9" fillId="13" borderId="14" xfId="2" applyNumberFormat="1" applyBorder="1" applyAlignment="1">
      <alignment vertical="center"/>
    </xf>
    <xf numFmtId="0" fontId="21" fillId="0" borderId="0" xfId="1" applyFont="1" applyBorder="1" applyAlignment="1">
      <alignment horizontal="left" vertical="center"/>
    </xf>
    <xf numFmtId="0" fontId="22" fillId="0" borderId="0" xfId="0" applyFont="1" applyBorder="1" applyAlignment="1">
      <alignment horizontal="left" vertical="center"/>
    </xf>
    <xf numFmtId="0" fontId="24" fillId="0" borderId="26" xfId="0" applyFont="1" applyBorder="1" applyAlignment="1">
      <alignment horizontal="left" vertical="center"/>
    </xf>
    <xf numFmtId="0" fontId="25" fillId="0" borderId="0" xfId="0" applyFont="1" applyBorder="1" applyAlignment="1">
      <alignment vertical="center"/>
    </xf>
    <xf numFmtId="0" fontId="26" fillId="0" borderId="0" xfId="0" applyFont="1" applyBorder="1" applyAlignment="1">
      <alignment horizontal="left" vertical="center"/>
    </xf>
    <xf numFmtId="0" fontId="27" fillId="14" borderId="1" xfId="0" applyFont="1" applyFill="1" applyBorder="1" applyAlignment="1">
      <alignment horizontal="center" vertical="center"/>
    </xf>
    <xf numFmtId="0" fontId="29" fillId="0" borderId="1" xfId="0" applyFont="1" applyBorder="1" applyAlignment="1">
      <alignment horizontal="center" vertical="center"/>
    </xf>
    <xf numFmtId="2" fontId="29" fillId="0" borderId="1" xfId="0" applyNumberFormat="1" applyFont="1" applyBorder="1" applyAlignment="1">
      <alignment horizontal="right" vertical="center"/>
    </xf>
    <xf numFmtId="0" fontId="29" fillId="15" borderId="1" xfId="0" applyFont="1" applyFill="1" applyBorder="1" applyAlignment="1">
      <alignment horizontal="center" vertical="center"/>
    </xf>
    <xf numFmtId="2" fontId="29" fillId="15" borderId="1" xfId="0" applyNumberFormat="1" applyFont="1" applyFill="1" applyBorder="1" applyAlignment="1">
      <alignment horizontal="right" vertical="center"/>
    </xf>
    <xf numFmtId="0" fontId="29" fillId="0" borderId="0" xfId="0" applyFont="1" applyBorder="1" applyAlignment="1">
      <alignment vertical="center" wrapText="1"/>
    </xf>
    <xf numFmtId="0" fontId="26" fillId="0" borderId="0" xfId="0" applyFont="1" applyBorder="1" applyAlignment="1">
      <alignment vertical="center" wrapText="1"/>
    </xf>
    <xf numFmtId="0" fontId="30" fillId="0" borderId="0" xfId="0" applyFont="1" applyBorder="1" applyAlignment="1">
      <alignment horizontal="right"/>
    </xf>
    <xf numFmtId="0" fontId="31" fillId="0" borderId="22" xfId="0" applyFont="1" applyBorder="1" applyAlignment="1">
      <alignment horizontal="right" vertical="center"/>
    </xf>
    <xf numFmtId="0" fontId="31" fillId="0" borderId="1" xfId="0" applyFont="1" applyBorder="1" applyAlignment="1">
      <alignment horizontal="right" vertical="center"/>
    </xf>
    <xf numFmtId="0" fontId="13" fillId="0" borderId="0" xfId="0" applyFont="1" applyBorder="1" applyAlignment="1">
      <alignment vertical="center"/>
    </xf>
    <xf numFmtId="0" fontId="17" fillId="0" borderId="0" xfId="0" applyFont="1" applyBorder="1" applyAlignment="1">
      <alignment vertical="top"/>
    </xf>
    <xf numFmtId="0" fontId="36" fillId="0" borderId="0" xfId="0" applyFont="1" applyBorder="1" applyAlignment="1">
      <alignment vertical="center"/>
    </xf>
    <xf numFmtId="0" fontId="35" fillId="0" borderId="0" xfId="0" applyFont="1" applyBorder="1" applyAlignment="1">
      <alignment horizontal="right" vertical="center"/>
    </xf>
    <xf numFmtId="0" fontId="19" fillId="0" borderId="26" xfId="0" applyFont="1" applyBorder="1" applyAlignment="1">
      <alignment horizontal="center" vertical="center"/>
    </xf>
    <xf numFmtId="168" fontId="20" fillId="0" borderId="26" xfId="0" applyNumberFormat="1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3" fillId="13" borderId="13" xfId="2" applyFont="1" applyBorder="1"/>
    <xf numFmtId="0" fontId="32" fillId="0" borderId="0" xfId="0" applyFont="1" applyBorder="1"/>
    <xf numFmtId="14" fontId="35" fillId="0" borderId="0" xfId="0" applyNumberFormat="1" applyFont="1" applyBorder="1" applyAlignment="1">
      <alignment horizontal="right" vertical="center"/>
    </xf>
    <xf numFmtId="14" fontId="29" fillId="0" borderId="1" xfId="0" applyNumberFormat="1" applyFont="1" applyBorder="1" applyAlignment="1">
      <alignment horizontal="center" vertical="center"/>
    </xf>
    <xf numFmtId="14" fontId="29" fillId="15" borderId="1" xfId="0" applyNumberFormat="1" applyFont="1" applyFill="1" applyBorder="1" applyAlignment="1">
      <alignment horizontal="center" vertical="center"/>
    </xf>
    <xf numFmtId="10" fontId="29" fillId="0" borderId="1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71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0" fontId="6" fillId="0" borderId="0" xfId="1" applyAlignment="1">
      <alignment horizontal="center"/>
    </xf>
    <xf numFmtId="2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2" fontId="0" fillId="0" borderId="0" xfId="0" applyNumberFormat="1" applyAlignment="1">
      <alignment horizontal="center" vertical="center"/>
    </xf>
    <xf numFmtId="0" fontId="30" fillId="0" borderId="21" xfId="0" applyFont="1" applyBorder="1" applyAlignment="1">
      <alignment horizontal="center" vertical="center"/>
    </xf>
    <xf numFmtId="0" fontId="30" fillId="0" borderId="22" xfId="0" applyFont="1" applyBorder="1" applyAlignment="1">
      <alignment horizontal="center" vertical="center"/>
    </xf>
    <xf numFmtId="164" fontId="34" fillId="0" borderId="1" xfId="0" applyNumberFormat="1" applyFont="1" applyBorder="1" applyAlignment="1">
      <alignment horizontal="center" vertical="center"/>
    </xf>
    <xf numFmtId="0" fontId="26" fillId="0" borderId="0" xfId="0" applyFont="1" applyBorder="1" applyAlignment="1">
      <alignment horizontal="center" vertical="center" wrapText="1"/>
    </xf>
    <xf numFmtId="0" fontId="32" fillId="0" borderId="0" xfId="0" applyFont="1" applyBorder="1"/>
    <xf numFmtId="0" fontId="33" fillId="0" borderId="0" xfId="0" applyFont="1" applyBorder="1" applyAlignment="1">
      <alignment horizontal="center" vertical="center"/>
    </xf>
    <xf numFmtId="0" fontId="23" fillId="13" borderId="13" xfId="2" applyFont="1" applyBorder="1" applyAlignment="1">
      <alignment horizontal="left" vertical="center" wrapText="1"/>
    </xf>
    <xf numFmtId="0" fontId="23" fillId="13" borderId="13" xfId="2" applyFont="1" applyBorder="1"/>
    <xf numFmtId="0" fontId="27" fillId="14" borderId="1" xfId="0" applyFont="1" applyFill="1" applyBorder="1" applyAlignment="1">
      <alignment horizontal="center" vertical="center"/>
    </xf>
    <xf numFmtId="0" fontId="28" fillId="0" borderId="1" xfId="0" applyFont="1" applyBorder="1"/>
    <xf numFmtId="0" fontId="0" fillId="0" borderId="0" xfId="0" applyProtection="1">
      <protection locked="0"/>
    </xf>
    <xf numFmtId="14" fontId="0" fillId="5" borderId="1" xfId="0" applyNumberFormat="1" applyFill="1" applyBorder="1" applyProtection="1">
      <protection locked="0"/>
    </xf>
    <xf numFmtId="0" fontId="0" fillId="5" borderId="13" xfId="0" applyFill="1" applyBorder="1" applyProtection="1">
      <protection locked="0"/>
    </xf>
    <xf numFmtId="14" fontId="0" fillId="5" borderId="13" xfId="0" applyNumberFormat="1" applyFill="1" applyBorder="1" applyProtection="1">
      <protection locked="0"/>
    </xf>
    <xf numFmtId="0" fontId="0" fillId="5" borderId="1" xfId="0" applyFill="1" applyBorder="1" applyProtection="1">
      <protection locked="0"/>
    </xf>
    <xf numFmtId="14" fontId="0" fillId="5" borderId="14" xfId="0" applyNumberFormat="1" applyFill="1" applyBorder="1" applyProtection="1">
      <protection locked="0"/>
    </xf>
    <xf numFmtId="0" fontId="0" fillId="4" borderId="0" xfId="0" applyFill="1" applyBorder="1" applyProtection="1">
      <protection locked="0"/>
    </xf>
    <xf numFmtId="14" fontId="0" fillId="4" borderId="0" xfId="0" applyNumberFormat="1" applyFill="1" applyBorder="1" applyProtection="1">
      <protection locked="0"/>
    </xf>
    <xf numFmtId="0" fontId="2" fillId="2" borderId="23" xfId="0" applyFont="1" applyFill="1" applyBorder="1" applyAlignment="1" applyProtection="1">
      <alignment horizontal="center" vertical="center"/>
      <protection locked="0"/>
    </xf>
    <xf numFmtId="0" fontId="2" fillId="2" borderId="3" xfId="0" applyFont="1" applyFill="1" applyBorder="1" applyAlignment="1" applyProtection="1">
      <alignment horizontal="center" vertical="center"/>
      <protection locked="0"/>
    </xf>
    <xf numFmtId="0" fontId="2" fillId="2" borderId="24" xfId="0" applyFont="1" applyFill="1" applyBorder="1" applyAlignment="1" applyProtection="1">
      <alignment horizontal="center" vertical="center"/>
      <protection locked="0"/>
    </xf>
    <xf numFmtId="0" fontId="2" fillId="4" borderId="0" xfId="0" applyFont="1" applyFill="1" applyBorder="1" applyAlignment="1" applyProtection="1">
      <alignment horizontal="center" vertical="center"/>
      <protection locked="0"/>
    </xf>
    <xf numFmtId="0" fontId="0" fillId="5" borderId="14" xfId="0" applyFill="1" applyBorder="1" applyProtection="1">
      <protection locked="0"/>
    </xf>
    <xf numFmtId="0" fontId="2" fillId="2" borderId="10" xfId="0" applyFont="1" applyFill="1" applyBorder="1" applyAlignment="1" applyProtection="1">
      <alignment horizontal="center" vertical="center"/>
      <protection locked="0"/>
    </xf>
    <xf numFmtId="0" fontId="2" fillId="2" borderId="11" xfId="0" applyFont="1" applyFill="1" applyBorder="1" applyAlignment="1" applyProtection="1">
      <alignment horizontal="center" vertical="center"/>
      <protection locked="0"/>
    </xf>
    <xf numFmtId="0" fontId="2" fillId="2" borderId="12" xfId="0" applyFont="1" applyFill="1" applyBorder="1" applyAlignment="1" applyProtection="1">
      <alignment horizontal="center" vertical="center"/>
      <protection locked="0"/>
    </xf>
    <xf numFmtId="0" fontId="1" fillId="5" borderId="14" xfId="0" applyFont="1" applyFill="1" applyBorder="1" applyProtection="1">
      <protection locked="0"/>
    </xf>
    <xf numFmtId="0" fontId="1" fillId="3" borderId="0" xfId="0" applyFont="1" applyFill="1" applyBorder="1" applyProtection="1">
      <protection locked="0"/>
    </xf>
    <xf numFmtId="0" fontId="1" fillId="7" borderId="0" xfId="0" applyFont="1" applyFill="1" applyBorder="1" applyProtection="1">
      <protection locked="0"/>
    </xf>
    <xf numFmtId="0" fontId="0" fillId="0" borderId="0" xfId="0" applyBorder="1" applyProtection="1">
      <protection locked="0"/>
    </xf>
    <xf numFmtId="0" fontId="0" fillId="6" borderId="0" xfId="0" applyFill="1" applyProtection="1">
      <protection locked="0"/>
    </xf>
    <xf numFmtId="0" fontId="0" fillId="7" borderId="15" xfId="0" applyFill="1" applyBorder="1" applyAlignment="1" applyProtection="1">
      <alignment horizontal="center"/>
      <protection locked="0"/>
    </xf>
    <xf numFmtId="0" fontId="0" fillId="7" borderId="16" xfId="0" applyFill="1" applyBorder="1" applyAlignment="1" applyProtection="1">
      <alignment horizontal="center"/>
      <protection locked="0"/>
    </xf>
    <xf numFmtId="0" fontId="0" fillId="6" borderId="0" xfId="0" applyFont="1" applyFill="1" applyBorder="1" applyAlignment="1" applyProtection="1">
      <alignment vertical="center"/>
      <protection locked="0"/>
    </xf>
    <xf numFmtId="0" fontId="0" fillId="6" borderId="0" xfId="0" applyFill="1" applyAlignment="1" applyProtection="1">
      <alignment horizontal="right" indent="86"/>
      <protection locked="0"/>
    </xf>
    <xf numFmtId="0" fontId="0" fillId="6" borderId="0" xfId="0" applyFont="1" applyFill="1" applyBorder="1" applyAlignment="1" applyProtection="1">
      <alignment horizontal="right" indent="4"/>
      <protection locked="0"/>
    </xf>
    <xf numFmtId="0" fontId="0" fillId="6" borderId="0" xfId="0" applyFill="1" applyAlignment="1" applyProtection="1">
      <alignment horizontal="left"/>
      <protection locked="0"/>
    </xf>
    <xf numFmtId="0" fontId="0" fillId="6" borderId="19" xfId="0" applyFill="1" applyBorder="1" applyAlignment="1" applyProtection="1">
      <alignment horizontal="left"/>
      <protection locked="0"/>
    </xf>
    <xf numFmtId="0" fontId="0" fillId="7" borderId="15" xfId="0" applyFont="1" applyFill="1" applyBorder="1" applyAlignment="1" applyProtection="1">
      <alignment horizontal="center" vertical="center"/>
      <protection locked="0"/>
    </xf>
    <xf numFmtId="0" fontId="0" fillId="7" borderId="16" xfId="0" applyFont="1" applyFill="1" applyBorder="1" applyAlignment="1" applyProtection="1">
      <alignment horizontal="center" vertical="center"/>
      <protection locked="0"/>
    </xf>
    <xf numFmtId="0" fontId="6" fillId="7" borderId="15" xfId="1" applyFill="1" applyBorder="1" applyAlignment="1" applyProtection="1">
      <alignment horizontal="center" vertical="center"/>
      <protection locked="0"/>
    </xf>
    <xf numFmtId="0" fontId="6" fillId="7" borderId="18" xfId="1" applyFill="1" applyBorder="1" applyAlignment="1" applyProtection="1">
      <alignment horizontal="center" vertical="center"/>
      <protection locked="0"/>
    </xf>
    <xf numFmtId="0" fontId="6" fillId="7" borderId="16" xfId="1" applyFill="1" applyBorder="1" applyAlignment="1" applyProtection="1">
      <alignment horizontal="center" vertical="center"/>
      <protection locked="0"/>
    </xf>
    <xf numFmtId="0" fontId="0" fillId="7" borderId="0" xfId="0" applyFill="1" applyProtection="1">
      <protection locked="0"/>
    </xf>
    <xf numFmtId="0" fontId="0" fillId="7" borderId="0" xfId="0" applyFont="1" applyFill="1" applyBorder="1" applyAlignment="1" applyProtection="1">
      <alignment horizontal="center" vertical="center"/>
      <protection locked="0"/>
    </xf>
    <xf numFmtId="0" fontId="0" fillId="6" borderId="0" xfId="0" applyFill="1" applyBorder="1" applyProtection="1">
      <protection locked="0"/>
    </xf>
    <xf numFmtId="0" fontId="0" fillId="6" borderId="0" xfId="0" applyFill="1" applyAlignment="1" applyProtection="1">
      <alignment horizontal="left"/>
      <protection locked="0"/>
    </xf>
    <xf numFmtId="0" fontId="0" fillId="7" borderId="0" xfId="0" applyFill="1" applyBorder="1" applyProtection="1">
      <protection locked="0"/>
    </xf>
    <xf numFmtId="0" fontId="3" fillId="6" borderId="0" xfId="0" applyFont="1" applyFill="1" applyBorder="1" applyAlignment="1" applyProtection="1">
      <alignment horizontal="left"/>
      <protection locked="0"/>
    </xf>
    <xf numFmtId="14" fontId="0" fillId="7" borderId="15" xfId="0" applyNumberFormat="1" applyFill="1" applyBorder="1" applyAlignment="1" applyProtection="1">
      <alignment horizontal="center"/>
      <protection locked="0"/>
    </xf>
    <xf numFmtId="0" fontId="3" fillId="6" borderId="0" xfId="0" applyFont="1" applyFill="1" applyBorder="1" applyAlignment="1" applyProtection="1">
      <alignment horizontal="right" indent="4"/>
      <protection locked="0"/>
    </xf>
    <xf numFmtId="0" fontId="0" fillId="6" borderId="0" xfId="0" applyFill="1" applyBorder="1" applyAlignment="1" applyProtection="1">
      <alignment horizontal="left"/>
      <protection locked="0"/>
    </xf>
    <xf numFmtId="164" fontId="0" fillId="7" borderId="15" xfId="0" applyNumberFormat="1" applyFont="1" applyFill="1" applyBorder="1" applyAlignment="1" applyProtection="1">
      <alignment horizontal="center" vertical="center"/>
      <protection locked="0"/>
    </xf>
    <xf numFmtId="164" fontId="0" fillId="7" borderId="16" xfId="0" applyNumberFormat="1" applyFont="1" applyFill="1" applyBorder="1" applyAlignment="1" applyProtection="1">
      <alignment horizontal="center" vertical="center"/>
      <protection locked="0"/>
    </xf>
    <xf numFmtId="0" fontId="4" fillId="7" borderId="15" xfId="1" applyFont="1" applyFill="1" applyBorder="1" applyAlignment="1" applyProtection="1">
      <alignment horizontal="center" vertical="center"/>
      <protection locked="0"/>
    </xf>
    <xf numFmtId="0" fontId="4" fillId="7" borderId="18" xfId="1" applyFont="1" applyFill="1" applyBorder="1" applyAlignment="1" applyProtection="1">
      <alignment horizontal="center" vertical="center"/>
      <protection locked="0"/>
    </xf>
    <xf numFmtId="0" fontId="4" fillId="7" borderId="16" xfId="1" applyFont="1" applyFill="1" applyBorder="1" applyAlignment="1" applyProtection="1">
      <alignment horizontal="center" vertical="center"/>
      <protection locked="0"/>
    </xf>
    <xf numFmtId="0" fontId="0" fillId="6" borderId="0" xfId="0" applyFill="1" applyBorder="1" applyAlignment="1" applyProtection="1">
      <alignment horizontal="left"/>
      <protection locked="0"/>
    </xf>
    <xf numFmtId="0" fontId="4" fillId="7" borderId="0" xfId="0" applyFont="1" applyFill="1" applyBorder="1" applyAlignment="1" applyProtection="1">
      <alignment horizontal="center" vertical="center"/>
      <protection locked="0"/>
    </xf>
    <xf numFmtId="0" fontId="4" fillId="0" borderId="0" xfId="0" applyFont="1" applyProtection="1">
      <protection locked="0"/>
    </xf>
    <xf numFmtId="0" fontId="4" fillId="7" borderId="0" xfId="0" applyFont="1" applyFill="1" applyBorder="1" applyProtection="1">
      <protection locked="0"/>
    </xf>
    <xf numFmtId="0" fontId="3" fillId="6" borderId="0" xfId="0" applyFont="1" applyFill="1" applyBorder="1" applyAlignment="1" applyProtection="1">
      <alignment horizontal="right" indent="6"/>
      <protection locked="0"/>
    </xf>
    <xf numFmtId="0" fontId="0" fillId="6" borderId="0" xfId="0" applyFill="1" applyBorder="1" applyAlignment="1" applyProtection="1">
      <alignment horizontal="left" indent="8"/>
      <protection locked="0"/>
    </xf>
    <xf numFmtId="22" fontId="0" fillId="6" borderId="0" xfId="0" applyNumberFormat="1" applyFill="1" applyBorder="1" applyProtection="1">
      <protection locked="0"/>
    </xf>
    <xf numFmtId="22" fontId="0" fillId="6" borderId="0" xfId="0" applyNumberFormat="1" applyFill="1" applyBorder="1" applyAlignment="1" applyProtection="1">
      <alignment horizontal="left" indent="32"/>
      <protection locked="0"/>
    </xf>
    <xf numFmtId="22" fontId="8" fillId="6" borderId="0" xfId="0" applyNumberFormat="1" applyFont="1" applyFill="1" applyBorder="1" applyAlignment="1" applyProtection="1">
      <alignment horizontal="left" indent="2"/>
      <protection locked="0"/>
    </xf>
    <xf numFmtId="22" fontId="8" fillId="6" borderId="6" xfId="0" applyNumberFormat="1" applyFont="1" applyFill="1" applyBorder="1" applyAlignment="1" applyProtection="1">
      <alignment horizontal="left" indent="2"/>
      <protection locked="0"/>
    </xf>
    <xf numFmtId="171" fontId="0" fillId="0" borderId="0" xfId="0" applyNumberFormat="1" applyProtection="1">
      <protection locked="0"/>
    </xf>
    <xf numFmtId="0" fontId="0" fillId="3" borderId="0" xfId="0" applyFill="1" applyBorder="1" applyProtection="1">
      <protection locked="0"/>
    </xf>
    <xf numFmtId="0" fontId="5" fillId="12" borderId="25" xfId="0" applyFont="1" applyFill="1" applyBorder="1" applyAlignment="1" applyProtection="1">
      <alignment horizontal="left" vertical="center" indent="5"/>
      <protection locked="0"/>
    </xf>
    <xf numFmtId="0" fontId="5" fillId="12" borderId="20" xfId="0" applyFont="1" applyFill="1" applyBorder="1" applyAlignment="1" applyProtection="1">
      <alignment vertical="center"/>
      <protection locked="0"/>
    </xf>
    <xf numFmtId="0" fontId="5" fillId="12" borderId="13" xfId="0" applyFont="1" applyFill="1" applyBorder="1" applyAlignment="1" applyProtection="1">
      <alignment horizontal="left" vertical="center" indent="4"/>
      <protection locked="0"/>
    </xf>
    <xf numFmtId="0" fontId="5" fillId="12" borderId="13" xfId="0" applyFont="1" applyFill="1" applyBorder="1" applyAlignment="1" applyProtection="1">
      <alignment horizontal="left" vertical="center" indent="5"/>
      <protection locked="0"/>
    </xf>
    <xf numFmtId="165" fontId="0" fillId="0" borderId="17" xfId="0" applyNumberFormat="1" applyBorder="1" applyAlignment="1" applyProtection="1">
      <alignment horizontal="center" vertical="center"/>
      <protection locked="0"/>
    </xf>
    <xf numFmtId="0" fontId="0" fillId="0" borderId="1" xfId="0" applyBorder="1" applyProtection="1">
      <protection locked="0"/>
    </xf>
    <xf numFmtId="0" fontId="5" fillId="7" borderId="0" xfId="0" applyFont="1" applyFill="1" applyBorder="1" applyAlignment="1" applyProtection="1">
      <alignment vertical="center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Border="1" applyAlignment="1" applyProtection="1">
      <protection locked="0"/>
    </xf>
    <xf numFmtId="166" fontId="0" fillId="0" borderId="2" xfId="0" applyNumberFormat="1" applyBorder="1" applyAlignment="1" applyProtection="1">
      <protection locked="0"/>
    </xf>
    <xf numFmtId="166" fontId="5" fillId="0" borderId="4" xfId="0" applyNumberFormat="1" applyFont="1" applyBorder="1" applyAlignment="1" applyProtection="1">
      <protection locked="0"/>
    </xf>
    <xf numFmtId="166" fontId="5" fillId="0" borderId="2" xfId="0" applyNumberFormat="1" applyFont="1" applyBorder="1" applyAlignment="1" applyProtection="1">
      <protection locked="0"/>
    </xf>
    <xf numFmtId="166" fontId="5" fillId="0" borderId="0" xfId="0" applyNumberFormat="1" applyFont="1" applyBorder="1" applyAlignment="1" applyProtection="1">
      <protection locked="0"/>
    </xf>
    <xf numFmtId="0" fontId="0" fillId="0" borderId="0" xfId="0" applyBorder="1" applyAlignment="1" applyProtection="1">
      <alignment horizontal="right"/>
      <protection locked="0"/>
    </xf>
    <xf numFmtId="166" fontId="0" fillId="0" borderId="5" xfId="0" applyNumberFormat="1" applyBorder="1" applyAlignment="1" applyProtection="1">
      <protection locked="0"/>
    </xf>
    <xf numFmtId="166" fontId="5" fillId="0" borderId="6" xfId="0" applyNumberFormat="1" applyFont="1" applyBorder="1" applyAlignment="1" applyProtection="1">
      <protection locked="0"/>
    </xf>
    <xf numFmtId="166" fontId="5" fillId="0" borderId="5" xfId="0" applyNumberFormat="1" applyFont="1" applyBorder="1" applyAlignment="1" applyProtection="1">
      <protection locked="0"/>
    </xf>
    <xf numFmtId="166" fontId="5" fillId="7" borderId="6" xfId="0" applyNumberFormat="1" applyFont="1" applyFill="1" applyBorder="1" applyAlignment="1" applyProtection="1">
      <protection locked="0"/>
    </xf>
    <xf numFmtId="166" fontId="5" fillId="7" borderId="5" xfId="0" applyNumberFormat="1" applyFont="1" applyFill="1" applyBorder="1" applyAlignment="1" applyProtection="1">
      <protection locked="0"/>
    </xf>
    <xf numFmtId="166" fontId="0" fillId="0" borderId="7" xfId="0" applyNumberFormat="1" applyBorder="1" applyAlignment="1" applyProtection="1">
      <protection locked="0"/>
    </xf>
    <xf numFmtId="166" fontId="5" fillId="0" borderId="9" xfId="0" applyNumberFormat="1" applyFont="1" applyBorder="1" applyAlignment="1" applyProtection="1">
      <protection locked="0"/>
    </xf>
    <xf numFmtId="166" fontId="5" fillId="0" borderId="7" xfId="0" applyNumberFormat="1" applyFont="1" applyBorder="1" applyAlignment="1" applyProtection="1">
      <protection locked="0"/>
    </xf>
    <xf numFmtId="0" fontId="0" fillId="5" borderId="21" xfId="0" applyFill="1" applyBorder="1" applyProtection="1">
      <protection locked="0"/>
    </xf>
    <xf numFmtId="166" fontId="5" fillId="0" borderId="3" xfId="0" applyNumberFormat="1" applyFont="1" applyBorder="1" applyAlignment="1" applyProtection="1">
      <protection locked="0"/>
    </xf>
    <xf numFmtId="0" fontId="0" fillId="5" borderId="22" xfId="0" applyFill="1" applyBorder="1" applyProtection="1">
      <protection locked="0"/>
    </xf>
    <xf numFmtId="0" fontId="0" fillId="3" borderId="0" xfId="0" applyFill="1" applyProtection="1">
      <protection locked="0"/>
    </xf>
    <xf numFmtId="166" fontId="0" fillId="0" borderId="9" xfId="0" applyNumberFormat="1" applyBorder="1" applyAlignment="1" applyProtection="1">
      <protection locked="0"/>
    </xf>
    <xf numFmtId="166" fontId="0" fillId="0" borderId="8" xfId="0" applyNumberFormat="1" applyBorder="1" applyAlignment="1" applyProtection="1">
      <protection locked="0"/>
    </xf>
    <xf numFmtId="166" fontId="0" fillId="0" borderId="0" xfId="0" applyNumberFormat="1" applyBorder="1" applyAlignment="1" applyProtection="1">
      <protection locked="0"/>
    </xf>
    <xf numFmtId="166" fontId="0" fillId="5" borderId="13" xfId="0" applyNumberFormat="1" applyFill="1" applyBorder="1" applyProtection="1">
      <protection locked="0"/>
    </xf>
    <xf numFmtId="0" fontId="0" fillId="7" borderId="0" xfId="0" applyFill="1" applyAlignment="1" applyProtection="1">
      <alignment horizontal="center"/>
      <protection locked="0"/>
    </xf>
    <xf numFmtId="0" fontId="0" fillId="11" borderId="25" xfId="0" applyFill="1" applyBorder="1" applyAlignment="1" applyProtection="1">
      <alignment horizontal="center"/>
      <protection locked="0"/>
    </xf>
    <xf numFmtId="0" fontId="0" fillId="11" borderId="20" xfId="0" applyFill="1" applyBorder="1" applyAlignment="1" applyProtection="1">
      <alignment horizontal="center"/>
      <protection locked="0"/>
    </xf>
    <xf numFmtId="0" fontId="0" fillId="8" borderId="25" xfId="0" applyFill="1" applyBorder="1" applyAlignment="1" applyProtection="1">
      <alignment horizontal="center"/>
      <protection locked="0"/>
    </xf>
    <xf numFmtId="0" fontId="0" fillId="8" borderId="20" xfId="0" applyFill="1" applyBorder="1" applyAlignment="1" applyProtection="1">
      <alignment horizontal="center"/>
      <protection locked="0"/>
    </xf>
    <xf numFmtId="0" fontId="0" fillId="9" borderId="25" xfId="0" applyFill="1" applyBorder="1" applyAlignment="1" applyProtection="1">
      <alignment horizontal="center"/>
      <protection locked="0"/>
    </xf>
    <xf numFmtId="0" fontId="0" fillId="9" borderId="20" xfId="0" applyFill="1" applyBorder="1" applyAlignment="1" applyProtection="1">
      <alignment horizontal="center"/>
      <protection locked="0"/>
    </xf>
    <xf numFmtId="0" fontId="0" fillId="10" borderId="25" xfId="0" applyFill="1" applyBorder="1" applyAlignment="1" applyProtection="1">
      <alignment horizontal="center"/>
      <protection locked="0"/>
    </xf>
    <xf numFmtId="0" fontId="0" fillId="10" borderId="20" xfId="0" applyFill="1" applyBorder="1" applyAlignment="1" applyProtection="1">
      <alignment horizontal="center"/>
      <protection locked="0"/>
    </xf>
    <xf numFmtId="0" fontId="0" fillId="7" borderId="25" xfId="0" applyFill="1" applyBorder="1" applyAlignment="1" applyProtection="1">
      <alignment horizontal="center"/>
      <protection locked="0"/>
    </xf>
    <xf numFmtId="0" fontId="0" fillId="7" borderId="20" xfId="0" applyFill="1" applyBorder="1" applyAlignment="1" applyProtection="1">
      <alignment horizontal="center"/>
      <protection locked="0"/>
    </xf>
    <xf numFmtId="0" fontId="0" fillId="4" borderId="25" xfId="0" applyFill="1" applyBorder="1" applyAlignment="1" applyProtection="1">
      <alignment horizontal="center"/>
      <protection locked="0"/>
    </xf>
    <xf numFmtId="0" fontId="0" fillId="4" borderId="13" xfId="0" applyFill="1" applyBorder="1" applyAlignment="1" applyProtection="1">
      <alignment horizontal="center"/>
      <protection locked="0"/>
    </xf>
    <xf numFmtId="0" fontId="0" fillId="4" borderId="20" xfId="0" applyFill="1" applyBorder="1" applyAlignment="1" applyProtection="1">
      <alignment horizontal="center"/>
      <protection locked="0"/>
    </xf>
    <xf numFmtId="0" fontId="0" fillId="7" borderId="1" xfId="0" applyFill="1" applyBorder="1" applyAlignment="1" applyProtection="1">
      <alignment horizontal="right" vertical="center"/>
      <protection locked="0"/>
    </xf>
  </cellXfs>
  <cellStyles count="3">
    <cellStyle name="Accent1" xfId="2" builtinId="29"/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33CC33"/>
      <color rgb="FFCBAE3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Analysis!$H$1</c:f>
              <c:strCache>
                <c:ptCount val="1"/>
                <c:pt idx="0">
                  <c:v>Cost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solidFill>
                <a:schemeClr val="accent1"/>
              </a:solidFill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  <a:sp3d>
              <a:contourClr>
                <a:schemeClr val="accent1"/>
              </a:contourClr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Analysis!$B$2:$B$48</c:f>
              <c:numCache>
                <c:formatCode>m/d/yyyy</c:formatCode>
                <c:ptCount val="47"/>
                <c:pt idx="0">
                  <c:v>44409</c:v>
                </c:pt>
                <c:pt idx="1">
                  <c:v>44410</c:v>
                </c:pt>
                <c:pt idx="2">
                  <c:v>44411</c:v>
                </c:pt>
                <c:pt idx="3">
                  <c:v>44412</c:v>
                </c:pt>
                <c:pt idx="4">
                  <c:v>44413</c:v>
                </c:pt>
                <c:pt idx="5">
                  <c:v>44414</c:v>
                </c:pt>
                <c:pt idx="6">
                  <c:v>44415</c:v>
                </c:pt>
                <c:pt idx="7">
                  <c:v>44416</c:v>
                </c:pt>
                <c:pt idx="8">
                  <c:v>44417</c:v>
                </c:pt>
                <c:pt idx="9">
                  <c:v>44418</c:v>
                </c:pt>
                <c:pt idx="10">
                  <c:v>44419</c:v>
                </c:pt>
                <c:pt idx="11">
                  <c:v>44420</c:v>
                </c:pt>
                <c:pt idx="12">
                  <c:v>44421</c:v>
                </c:pt>
                <c:pt idx="13">
                  <c:v>44422</c:v>
                </c:pt>
                <c:pt idx="14">
                  <c:v>44423</c:v>
                </c:pt>
                <c:pt idx="15">
                  <c:v>44424</c:v>
                </c:pt>
                <c:pt idx="16">
                  <c:v>44425</c:v>
                </c:pt>
                <c:pt idx="17">
                  <c:v>44426</c:v>
                </c:pt>
                <c:pt idx="18">
                  <c:v>44427</c:v>
                </c:pt>
                <c:pt idx="19">
                  <c:v>44428</c:v>
                </c:pt>
                <c:pt idx="20">
                  <c:v>44429</c:v>
                </c:pt>
                <c:pt idx="21">
                  <c:v>44430</c:v>
                </c:pt>
                <c:pt idx="22">
                  <c:v>44431</c:v>
                </c:pt>
                <c:pt idx="23">
                  <c:v>44440</c:v>
                </c:pt>
                <c:pt idx="24">
                  <c:v>44440</c:v>
                </c:pt>
                <c:pt idx="25">
                  <c:v>44440</c:v>
                </c:pt>
                <c:pt idx="26">
                  <c:v>44440</c:v>
                </c:pt>
                <c:pt idx="27">
                  <c:v>44440</c:v>
                </c:pt>
                <c:pt idx="28">
                  <c:v>44441</c:v>
                </c:pt>
                <c:pt idx="29">
                  <c:v>44442</c:v>
                </c:pt>
                <c:pt idx="30">
                  <c:v>44442</c:v>
                </c:pt>
                <c:pt idx="31">
                  <c:v>44442</c:v>
                </c:pt>
                <c:pt idx="32">
                  <c:v>44471</c:v>
                </c:pt>
                <c:pt idx="33">
                  <c:v>44471</c:v>
                </c:pt>
                <c:pt idx="34">
                  <c:v>44471</c:v>
                </c:pt>
              </c:numCache>
            </c:numRef>
          </c:cat>
          <c:val>
            <c:numRef>
              <c:f>Analysis!$H$2:$H$48</c:f>
              <c:numCache>
                <c:formatCode>General</c:formatCode>
                <c:ptCount val="47"/>
                <c:pt idx="0">
                  <c:v>200</c:v>
                </c:pt>
                <c:pt idx="1">
                  <c:v>200</c:v>
                </c:pt>
                <c:pt idx="2">
                  <c:v>200</c:v>
                </c:pt>
                <c:pt idx="3">
                  <c:v>500</c:v>
                </c:pt>
                <c:pt idx="4">
                  <c:v>400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500</c:v>
                </c:pt>
                <c:pt idx="9">
                  <c:v>400</c:v>
                </c:pt>
                <c:pt idx="10">
                  <c:v>400</c:v>
                </c:pt>
                <c:pt idx="11">
                  <c:v>400</c:v>
                </c:pt>
                <c:pt idx="12">
                  <c:v>400</c:v>
                </c:pt>
                <c:pt idx="13">
                  <c:v>500</c:v>
                </c:pt>
                <c:pt idx="14">
                  <c:v>300</c:v>
                </c:pt>
                <c:pt idx="15">
                  <c:v>200</c:v>
                </c:pt>
                <c:pt idx="16">
                  <c:v>300</c:v>
                </c:pt>
                <c:pt idx="17">
                  <c:v>700</c:v>
                </c:pt>
                <c:pt idx="18">
                  <c:v>100</c:v>
                </c:pt>
                <c:pt idx="19">
                  <c:v>400</c:v>
                </c:pt>
                <c:pt idx="20">
                  <c:v>100</c:v>
                </c:pt>
                <c:pt idx="21">
                  <c:v>100</c:v>
                </c:pt>
                <c:pt idx="22">
                  <c:v>500</c:v>
                </c:pt>
                <c:pt idx="23">
                  <c:v>200</c:v>
                </c:pt>
                <c:pt idx="24">
                  <c:v>200</c:v>
                </c:pt>
                <c:pt idx="25">
                  <c:v>200</c:v>
                </c:pt>
                <c:pt idx="26">
                  <c:v>200</c:v>
                </c:pt>
                <c:pt idx="27">
                  <c:v>300</c:v>
                </c:pt>
                <c:pt idx="28">
                  <c:v>200</c:v>
                </c:pt>
                <c:pt idx="29">
                  <c:v>200</c:v>
                </c:pt>
                <c:pt idx="30">
                  <c:v>300</c:v>
                </c:pt>
                <c:pt idx="31">
                  <c:v>400</c:v>
                </c:pt>
                <c:pt idx="32">
                  <c:v>200</c:v>
                </c:pt>
                <c:pt idx="33">
                  <c:v>200</c:v>
                </c:pt>
                <c:pt idx="34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E9-4F68-9E98-D604E570A21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gapDepth val="390"/>
        <c:shape val="box"/>
        <c:axId val="652836048"/>
        <c:axId val="652835408"/>
        <c:axId val="0"/>
      </c:bar3DChart>
      <c:dateAx>
        <c:axId val="6528360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ARRIVAL</a:t>
                </a:r>
                <a:r>
                  <a:rPr lang="en-IN" baseline="0"/>
                  <a:t> Dates</a:t>
                </a:r>
              </a:p>
              <a:p>
                <a:pPr>
                  <a:defRPr/>
                </a:pPr>
                <a:endParaRPr lang="en-IN"/>
              </a:p>
            </c:rich>
          </c:tx>
          <c:layout>
            <c:manualLayout>
              <c:xMode val="edge"/>
              <c:yMode val="edge"/>
              <c:x val="0.47452773317551195"/>
              <c:y val="0.9381544957215781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835408"/>
        <c:crosses val="autoZero"/>
        <c:auto val="1"/>
        <c:lblOffset val="100"/>
        <c:baseTimeUnit val="days"/>
      </c:dateAx>
      <c:valAx>
        <c:axId val="652835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Cost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836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[Hotel Booking Management.xlsm]Analysis!PivotTable3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Analysis!$Y$10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Analysis!$X$11:$X$13</c:f>
              <c:strCache>
                <c:ptCount val="2"/>
                <c:pt idx="0">
                  <c:v>Aug</c:v>
                </c:pt>
                <c:pt idx="1">
                  <c:v>Sep</c:v>
                </c:pt>
              </c:strCache>
            </c:strRef>
          </c:cat>
          <c:val>
            <c:numRef>
              <c:f>Analysis!$Y$11:$Y$13</c:f>
              <c:numCache>
                <c:formatCode>General</c:formatCode>
                <c:ptCount val="2"/>
                <c:pt idx="0">
                  <c:v>7100</c:v>
                </c:pt>
                <c:pt idx="1">
                  <c:v>2600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08D-4B67-8854-257BFBAA3C9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621772880"/>
        <c:axId val="621775440"/>
      </c:barChart>
      <c:catAx>
        <c:axId val="6217728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MONTH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1775440"/>
        <c:crosses val="autoZero"/>
        <c:auto val="1"/>
        <c:lblAlgn val="ctr"/>
        <c:lblOffset val="100"/>
        <c:noMultiLvlLbl val="0"/>
      </c:catAx>
      <c:valAx>
        <c:axId val="6217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EARNING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1772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hyperlink" Target="#Data!A1"/><Relationship Id="rId1" Type="http://schemas.openxmlformats.org/officeDocument/2006/relationships/hyperlink" Target="#Analysis!A1"/><Relationship Id="rId4" Type="http://schemas.openxmlformats.org/officeDocument/2006/relationships/image" Target="../media/image2.gif"/></Relationships>
</file>

<file path=xl/drawings/_rels/drawing2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578302</xdr:colOff>
      <xdr:row>4</xdr:row>
      <xdr:rowOff>31729</xdr:rowOff>
    </xdr:from>
    <xdr:to>
      <xdr:col>19</xdr:col>
      <xdr:colOff>68035</xdr:colOff>
      <xdr:row>6</xdr:row>
      <xdr:rowOff>0</xdr:rowOff>
    </xdr:to>
    <xdr:sp macro="[0]!AddNewData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4605480-4C54-4F05-8452-83D3EE678037}"/>
            </a:ext>
          </a:extLst>
        </xdr:cNvPr>
        <xdr:cNvSpPr/>
      </xdr:nvSpPr>
      <xdr:spPr>
        <a:xfrm>
          <a:off x="10091963" y="553336"/>
          <a:ext cx="1394733" cy="331128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/>
            <a:t>Analysis</a:t>
          </a:r>
        </a:p>
      </xdr:txBody>
    </xdr:sp>
    <xdr:clientData/>
  </xdr:twoCellAnchor>
  <xdr:twoCellAnchor>
    <xdr:from>
      <xdr:col>19</xdr:col>
      <xdr:colOff>569185</xdr:colOff>
      <xdr:row>4</xdr:row>
      <xdr:rowOff>21405</xdr:rowOff>
    </xdr:from>
    <xdr:to>
      <xdr:col>24</xdr:col>
      <xdr:colOff>42809</xdr:colOff>
      <xdr:row>5</xdr:row>
      <xdr:rowOff>296097</xdr:rowOff>
    </xdr:to>
    <xdr:sp macro="[0]!Invoice.Invoic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61B921D6-C5DE-4D1F-A39F-0C5FAB79E81A}"/>
            </a:ext>
          </a:extLst>
        </xdr:cNvPr>
        <xdr:cNvSpPr/>
      </xdr:nvSpPr>
      <xdr:spPr>
        <a:xfrm>
          <a:off x="12127612" y="545815"/>
          <a:ext cx="1121770" cy="317501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/>
            <a:t>Invoice</a:t>
          </a:r>
        </a:p>
      </xdr:txBody>
    </xdr:sp>
    <xdr:clientData/>
  </xdr:twoCellAnchor>
  <xdr:twoCellAnchor>
    <xdr:from>
      <xdr:col>14</xdr:col>
      <xdr:colOff>1</xdr:colOff>
      <xdr:row>5</xdr:row>
      <xdr:rowOff>1903</xdr:rowOff>
    </xdr:from>
    <xdr:to>
      <xdr:col>16</xdr:col>
      <xdr:colOff>181428</xdr:colOff>
      <xdr:row>6</xdr:row>
      <xdr:rowOff>0</xdr:rowOff>
    </xdr:to>
    <xdr:sp macro="" textlink="">
      <xdr:nvSpPr>
        <xdr:cNvPr id="4" name="Rectangle: Rounded Corner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0AC0435-501B-4B35-987E-3AE3D33A210B}"/>
            </a:ext>
          </a:extLst>
        </xdr:cNvPr>
        <xdr:cNvSpPr/>
      </xdr:nvSpPr>
      <xdr:spPr>
        <a:xfrm>
          <a:off x="8379733" y="557528"/>
          <a:ext cx="1315356" cy="326936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/>
            <a:t>Old</a:t>
          </a:r>
          <a:r>
            <a:rPr lang="en-IN" sz="1100" b="1" baseline="0"/>
            <a:t> Bookings</a:t>
          </a:r>
          <a:endParaRPr lang="en-IN" sz="1100" b="1"/>
        </a:p>
      </xdr:txBody>
    </xdr:sp>
    <xdr:clientData/>
  </xdr:twoCellAnchor>
  <xdr:twoCellAnchor editAs="oneCell">
    <xdr:from>
      <xdr:col>2</xdr:col>
      <xdr:colOff>26926</xdr:colOff>
      <xdr:row>7</xdr:row>
      <xdr:rowOff>19440</xdr:rowOff>
    </xdr:from>
    <xdr:to>
      <xdr:col>3</xdr:col>
      <xdr:colOff>599325</xdr:colOff>
      <xdr:row>15</xdr:row>
      <xdr:rowOff>160534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7856FF72-737A-4F96-9621-15191FD4A58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931" r="10283" b="7679"/>
        <a:stretch/>
      </xdr:blipFill>
      <xdr:spPr>
        <a:xfrm>
          <a:off x="741301" y="905265"/>
          <a:ext cx="1181999" cy="1122169"/>
        </a:xfrm>
        <a:prstGeom prst="rect">
          <a:avLst/>
        </a:prstGeom>
      </xdr:spPr>
    </xdr:pic>
    <xdr:clientData/>
  </xdr:twoCellAnchor>
  <xdr:twoCellAnchor>
    <xdr:from>
      <xdr:col>28</xdr:col>
      <xdr:colOff>559029</xdr:colOff>
      <xdr:row>7</xdr:row>
      <xdr:rowOff>94716</xdr:rowOff>
    </xdr:from>
    <xdr:to>
      <xdr:col>31</xdr:col>
      <xdr:colOff>339618</xdr:colOff>
      <xdr:row>9</xdr:row>
      <xdr:rowOff>125185</xdr:rowOff>
    </xdr:to>
    <xdr:sp macro="[0]!AddNewData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3AFC9299-49C7-41F0-B71D-0F83A7BE4C44}"/>
            </a:ext>
          </a:extLst>
        </xdr:cNvPr>
        <xdr:cNvSpPr/>
      </xdr:nvSpPr>
      <xdr:spPr>
        <a:xfrm>
          <a:off x="16096045" y="985764"/>
          <a:ext cx="1624138" cy="276276"/>
        </a:xfrm>
        <a:prstGeom prst="roundRect">
          <a:avLst/>
        </a:prstGeom>
        <a:solidFill>
          <a:schemeClr val="bg2">
            <a:lumMod val="25000"/>
          </a:schemeClr>
        </a:solidFill>
        <a:ln w="57150"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/>
            <a:t>Submit</a:t>
          </a:r>
        </a:p>
      </xdr:txBody>
    </xdr:sp>
    <xdr:clientData/>
  </xdr:twoCellAnchor>
  <xdr:twoCellAnchor>
    <xdr:from>
      <xdr:col>3</xdr:col>
      <xdr:colOff>582083</xdr:colOff>
      <xdr:row>21</xdr:row>
      <xdr:rowOff>10583</xdr:rowOff>
    </xdr:from>
    <xdr:to>
      <xdr:col>5</xdr:col>
      <xdr:colOff>21165</xdr:colOff>
      <xdr:row>22</xdr:row>
      <xdr:rowOff>122516</xdr:rowOff>
    </xdr:to>
    <xdr:sp macro="[0]!CreateCalendar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4346C571-576D-4989-B7A2-63920FF07C75}"/>
            </a:ext>
          </a:extLst>
        </xdr:cNvPr>
        <xdr:cNvSpPr/>
      </xdr:nvSpPr>
      <xdr:spPr>
        <a:xfrm>
          <a:off x="1915583" y="2794000"/>
          <a:ext cx="1015999" cy="302433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 b="1"/>
            <a:t>View</a:t>
          </a:r>
          <a:endParaRPr lang="en-IN" sz="1100" b="1"/>
        </a:p>
      </xdr:txBody>
    </xdr:sp>
    <xdr:clientData/>
  </xdr:twoCellAnchor>
  <xdr:twoCellAnchor>
    <xdr:from>
      <xdr:col>28</xdr:col>
      <xdr:colOff>345755</xdr:colOff>
      <xdr:row>18</xdr:row>
      <xdr:rowOff>210621</xdr:rowOff>
    </xdr:from>
    <xdr:to>
      <xdr:col>30</xdr:col>
      <xdr:colOff>431801</xdr:colOff>
      <xdr:row>20</xdr:row>
      <xdr:rowOff>139700</xdr:rowOff>
    </xdr:to>
    <xdr:sp macro="[0]!updateroom.updateroom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DAA0767B-11C8-4F9D-B4C3-E4E5B8543200}"/>
            </a:ext>
          </a:extLst>
        </xdr:cNvPr>
        <xdr:cNvSpPr/>
      </xdr:nvSpPr>
      <xdr:spPr>
        <a:xfrm>
          <a:off x="15992155" y="2458521"/>
          <a:ext cx="1317946" cy="360879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050" b="1" i="0" baseline="0">
              <a:solidFill>
                <a:schemeClr val="lt1"/>
              </a:solidFill>
              <a:effectLst/>
              <a:latin typeface="Arial Black" panose="020B0A04020102020204" pitchFamily="34" charset="0"/>
              <a:ea typeface="+mn-ea"/>
              <a:cs typeface="+mn-cs"/>
            </a:rPr>
            <a:t>Update Rooms</a:t>
          </a:r>
          <a:r>
            <a:rPr lang="en-IN" sz="900" b="0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IN" sz="1100" b="1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en-IN" sz="900" b="1">
            <a:effectLst/>
          </a:endParaRPr>
        </a:p>
        <a:p>
          <a:pPr algn="l"/>
          <a:endParaRPr lang="en-IN" sz="900"/>
        </a:p>
      </xdr:txBody>
    </xdr:sp>
    <xdr:clientData/>
  </xdr:twoCellAnchor>
  <xdr:twoCellAnchor>
    <xdr:from>
      <xdr:col>11</xdr:col>
      <xdr:colOff>45357</xdr:colOff>
      <xdr:row>4</xdr:row>
      <xdr:rowOff>18231</xdr:rowOff>
    </xdr:from>
    <xdr:to>
      <xdr:col>13</xdr:col>
      <xdr:colOff>186417</xdr:colOff>
      <xdr:row>5</xdr:row>
      <xdr:rowOff>328838</xdr:rowOff>
    </xdr:to>
    <xdr:sp macro="[0]!Newbooking.Newbooking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B7D9A1F7-8F94-4AFD-86C4-38E8969F0C25}"/>
            </a:ext>
          </a:extLst>
        </xdr:cNvPr>
        <xdr:cNvSpPr/>
      </xdr:nvSpPr>
      <xdr:spPr>
        <a:xfrm>
          <a:off x="6678839" y="539838"/>
          <a:ext cx="1274989" cy="344625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/>
            <a:t>New Booking</a:t>
          </a:r>
        </a:p>
      </xdr:txBody>
    </xdr:sp>
    <xdr:clientData/>
  </xdr:twoCellAnchor>
  <xdr:twoCellAnchor editAs="oneCell">
    <xdr:from>
      <xdr:col>2</xdr:col>
      <xdr:colOff>214044</xdr:colOff>
      <xdr:row>25</xdr:row>
      <xdr:rowOff>107022</xdr:rowOff>
    </xdr:from>
    <xdr:to>
      <xdr:col>5</xdr:col>
      <xdr:colOff>275730</xdr:colOff>
      <xdr:row>39</xdr:row>
      <xdr:rowOff>74915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F33C4725-76C4-4070-8299-3FF58D29466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910" r="20909"/>
        <a:stretch/>
      </xdr:blipFill>
      <xdr:spPr>
        <a:xfrm>
          <a:off x="931095" y="3702977"/>
          <a:ext cx="2244944" cy="266485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1182558</xdr:colOff>
      <xdr:row>4</xdr:row>
      <xdr:rowOff>186763</xdr:rowOff>
    </xdr:from>
    <xdr:to>
      <xdr:col>6</xdr:col>
      <xdr:colOff>229728</xdr:colOff>
      <xdr:row>15</xdr:row>
      <xdr:rowOff>37352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6D1F11C-B1E0-4F0C-A686-2141C513E6A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-42000"/>
                  </a14:imgEffect>
                  <a14:imgEffect>
                    <a14:brightnessContrast bright="7000" contrast="26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8931" r="10283" b="7679"/>
        <a:stretch/>
      </xdr:blipFill>
      <xdr:spPr>
        <a:xfrm>
          <a:off x="4029234" y="1334093"/>
          <a:ext cx="2424216" cy="231842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56583</xdr:rowOff>
    </xdr:from>
    <xdr:to>
      <xdr:col>11</xdr:col>
      <xdr:colOff>162126</xdr:colOff>
      <xdr:row>36</xdr:row>
      <xdr:rowOff>40531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7A854D3-C5F5-4A9E-96C7-2FE7BE220B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243192</xdr:colOff>
      <xdr:row>0</xdr:row>
      <xdr:rowOff>52080</xdr:rowOff>
    </xdr:from>
    <xdr:to>
      <xdr:col>17</xdr:col>
      <xdr:colOff>395187</xdr:colOff>
      <xdr:row>35</xdr:row>
      <xdr:rowOff>182392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2475A35-2449-46CA-A2C0-A14EBB8D18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vinash" refreshedDate="44479.115697685185" createdVersion="7" refreshedVersion="7" minRefreshableVersion="3" recordCount="34" xr:uid="{1DEDEEDC-63E0-41FC-9B21-4FE1E60E0F1D}">
  <cacheSource type="worksheet">
    <worksheetSource ref="P1:Q35" sheet="Analysis"/>
  </cacheSource>
  <cacheFields count="3">
    <cacheField name="Last Data Modified" numFmtId="171">
      <sharedItems containsSemiMixedTypes="0" containsNonDate="0" containsDate="1" containsString="0" minDate="2021-08-09T22:21:08" maxDate="2021-09-11T22:21:08" count="34">
        <d v="2021-08-09T22:21:08"/>
        <d v="2021-08-10T22:21:08"/>
        <d v="2021-08-11T22:21:08"/>
        <d v="2021-08-12T22:21:08"/>
        <d v="2021-08-13T22:21:08"/>
        <d v="2021-08-14T22:21:08"/>
        <d v="2021-08-15T22:21:08"/>
        <d v="2021-08-16T22:21:08"/>
        <d v="2021-08-17T22:21:08"/>
        <d v="2021-08-18T22:21:08"/>
        <d v="2021-08-19T22:21:08"/>
        <d v="2021-08-20T22:21:08"/>
        <d v="2021-08-21T22:21:08"/>
        <d v="2021-08-22T22:21:08"/>
        <d v="2021-08-23T22:21:08"/>
        <d v="2021-08-24T22:21:08"/>
        <d v="2021-08-25T22:21:08"/>
        <d v="2021-08-26T22:21:08"/>
        <d v="2021-08-27T22:21:08"/>
        <d v="2021-08-28T22:21:08"/>
        <d v="2021-08-29T22:21:08"/>
        <d v="2021-08-30T22:21:08"/>
        <d v="2021-08-31T22:21:08"/>
        <d v="2021-09-01T22:21:08"/>
        <d v="2021-09-02T22:21:08"/>
        <d v="2021-09-03T22:21:08"/>
        <d v="2021-09-04T22:21:08"/>
        <d v="2021-09-05T22:21:08"/>
        <d v="2021-09-06T22:21:08"/>
        <d v="2021-09-07T22:21:08"/>
        <d v="2021-09-08T22:21:08"/>
        <d v="2021-09-09T22:21:08"/>
        <d v="2021-09-10T22:21:08"/>
        <d v="2021-09-11T22:21:08"/>
      </sharedItems>
      <fieldGroup par="2" base="0">
        <rangePr groupBy="days" startDate="2021-08-09T22:21:08" endDate="2021-09-11T22:21:08"/>
        <groupItems count="368">
          <s v="&lt;09-08-2021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1-09-2021"/>
        </groupItems>
      </fieldGroup>
    </cacheField>
    <cacheField name="Cost" numFmtId="2">
      <sharedItems containsSemiMixedTypes="0" containsString="0" containsNumber="1" containsInteger="1" minValue="100" maxValue="700"/>
    </cacheField>
    <cacheField name="Months" numFmtId="0" databaseField="0">
      <fieldGroup base="0">
        <rangePr groupBy="months" startDate="2021-08-09T22:21:08" endDate="2021-09-11T22:21:08"/>
        <groupItems count="14">
          <s v="&lt;09-08-2021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1-09-20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">
  <r>
    <x v="0"/>
    <n v="200"/>
  </r>
  <r>
    <x v="1"/>
    <n v="200"/>
  </r>
  <r>
    <x v="2"/>
    <n v="200"/>
  </r>
  <r>
    <x v="3"/>
    <n v="500"/>
  </r>
  <r>
    <x v="4"/>
    <n v="400"/>
  </r>
  <r>
    <x v="5"/>
    <n v="100"/>
  </r>
  <r>
    <x v="6"/>
    <n v="100"/>
  </r>
  <r>
    <x v="7"/>
    <n v="100"/>
  </r>
  <r>
    <x v="8"/>
    <n v="500"/>
  </r>
  <r>
    <x v="9"/>
    <n v="400"/>
  </r>
  <r>
    <x v="10"/>
    <n v="400"/>
  </r>
  <r>
    <x v="11"/>
    <n v="400"/>
  </r>
  <r>
    <x v="12"/>
    <n v="400"/>
  </r>
  <r>
    <x v="13"/>
    <n v="500"/>
  </r>
  <r>
    <x v="14"/>
    <n v="300"/>
  </r>
  <r>
    <x v="15"/>
    <n v="200"/>
  </r>
  <r>
    <x v="16"/>
    <n v="300"/>
  </r>
  <r>
    <x v="17"/>
    <n v="700"/>
  </r>
  <r>
    <x v="18"/>
    <n v="100"/>
  </r>
  <r>
    <x v="19"/>
    <n v="400"/>
  </r>
  <r>
    <x v="20"/>
    <n v="100"/>
  </r>
  <r>
    <x v="21"/>
    <n v="100"/>
  </r>
  <r>
    <x v="22"/>
    <n v="500"/>
  </r>
  <r>
    <x v="23"/>
    <n v="200"/>
  </r>
  <r>
    <x v="24"/>
    <n v="200"/>
  </r>
  <r>
    <x v="25"/>
    <n v="200"/>
  </r>
  <r>
    <x v="26"/>
    <n v="200"/>
  </r>
  <r>
    <x v="27"/>
    <n v="300"/>
  </r>
  <r>
    <x v="28"/>
    <n v="200"/>
  </r>
  <r>
    <x v="29"/>
    <n v="200"/>
  </r>
  <r>
    <x v="30"/>
    <n v="300"/>
  </r>
  <r>
    <x v="31"/>
    <n v="400"/>
  </r>
  <r>
    <x v="32"/>
    <n v="200"/>
  </r>
  <r>
    <x v="33"/>
    <n v="2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16D3FBA-7627-4FE7-9D2C-A66BB4481464}" name="PivotTable3" cacheId="9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X10:Y13" firstHeaderRow="1" firstDataRow="1" firstDataCol="1"/>
  <pivotFields count="3">
    <pivotField numFmtId="17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dataField="1" numFmtId="2"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2"/>
  </rowFields>
  <rowItems count="3">
    <i>
      <x v="8"/>
    </i>
    <i>
      <x v="9"/>
    </i>
    <i t="grand">
      <x/>
    </i>
  </rowItems>
  <colItems count="1">
    <i/>
  </colItems>
  <dataFields count="1">
    <dataField name="Sum of Cost" fld="1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mailto:test2@gmail.com" TargetMode="External"/><Relationship Id="rId1" Type="http://schemas.openxmlformats.org/officeDocument/2006/relationships/hyperlink" Target="mailto:test2@gmail.com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test@gmail.co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3.xml"/><Relationship Id="rId3" Type="http://schemas.openxmlformats.org/officeDocument/2006/relationships/hyperlink" Target="mailto:test2@gmail.com" TargetMode="External"/><Relationship Id="rId7" Type="http://schemas.openxmlformats.org/officeDocument/2006/relationships/hyperlink" Target="mailto:test2@gmail.com" TargetMode="External"/><Relationship Id="rId2" Type="http://schemas.openxmlformats.org/officeDocument/2006/relationships/hyperlink" Target="mailto:test2@gmail.com" TargetMode="External"/><Relationship Id="rId1" Type="http://schemas.openxmlformats.org/officeDocument/2006/relationships/pivotTable" Target="../pivotTables/pivotTable1.xml"/><Relationship Id="rId6" Type="http://schemas.openxmlformats.org/officeDocument/2006/relationships/hyperlink" Target="mailto:test2@gmail.com" TargetMode="External"/><Relationship Id="rId5" Type="http://schemas.openxmlformats.org/officeDocument/2006/relationships/hyperlink" Target="mailto:test2@gmail.com" TargetMode="External"/><Relationship Id="rId4" Type="http://schemas.openxmlformats.org/officeDocument/2006/relationships/hyperlink" Target="mailto:test2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395E41-312D-46C8-BED0-A2A0ACE8FC81}">
  <sheetPr codeName="Sheet6"/>
  <dimension ref="A1:AM1048576"/>
  <sheetViews>
    <sheetView showGridLines="0" tabSelected="1" zoomScale="89" zoomScaleNormal="145" workbookViewId="0">
      <selection activeCell="AI24" sqref="AI24"/>
    </sheetView>
  </sheetViews>
  <sheetFormatPr defaultColWidth="0" defaultRowHeight="15" customHeight="1" zeroHeight="1"/>
  <cols>
    <col min="1" max="1" width="9.140625" style="90" customWidth="1"/>
    <col min="2" max="2" width="1.5703125" style="90" customWidth="1"/>
    <col min="3" max="4" width="9.140625" style="90" customWidth="1"/>
    <col min="5" max="5" width="14.42578125" style="90" customWidth="1"/>
    <col min="6" max="6" width="7.5703125" style="90" customWidth="1"/>
    <col min="7" max="7" width="9.5703125" style="90" customWidth="1"/>
    <col min="8" max="8" width="7.85546875" style="90" customWidth="1"/>
    <col min="9" max="9" width="12.7109375" style="90" customWidth="1"/>
    <col min="10" max="10" width="9.140625" style="90" customWidth="1"/>
    <col min="11" max="11" width="11.140625" style="90" customWidth="1"/>
    <col min="12" max="12" width="8.42578125" style="90" customWidth="1"/>
    <col min="13" max="13" width="8.5703125" style="90" customWidth="1"/>
    <col min="14" max="14" width="9.140625" style="90" customWidth="1"/>
    <col min="15" max="15" width="9.42578125" style="90" customWidth="1"/>
    <col min="16" max="16" width="7.7109375" style="90" customWidth="1"/>
    <col min="17" max="17" width="9" style="90" customWidth="1"/>
    <col min="18" max="18" width="10.42578125" style="90" customWidth="1"/>
    <col min="19" max="20" width="9.140625" style="90" customWidth="1"/>
    <col min="21" max="21" width="0.7109375" style="90" customWidth="1"/>
    <col min="22" max="23" width="1.140625" style="90" customWidth="1"/>
    <col min="24" max="24" width="12.7109375" style="90" customWidth="1"/>
    <col min="25" max="25" width="9" style="90" customWidth="1"/>
    <col min="26" max="26" width="8.85546875" style="90" customWidth="1"/>
    <col min="27" max="29" width="9.140625" style="90" customWidth="1"/>
    <col min="30" max="30" width="9.28515625" style="90" customWidth="1"/>
    <col min="31" max="32" width="9.140625" style="90" customWidth="1"/>
    <col min="33" max="33" width="1.5703125" style="90" customWidth="1"/>
    <col min="34" max="34" width="25.140625" style="90" hidden="1" customWidth="1"/>
    <col min="35" max="39" width="9.140625" style="90" customWidth="1"/>
    <col min="40" max="16384" width="9.140625" style="90" hidden="1"/>
  </cols>
  <sheetData>
    <row r="1" spans="2:34" ht="6" customHeight="1"/>
    <row r="2" spans="2:34" ht="7.5" customHeight="1">
      <c r="B2" s="91"/>
      <c r="C2" s="92"/>
      <c r="D2" s="93"/>
      <c r="E2" s="92"/>
      <c r="F2" s="92"/>
      <c r="G2" s="92"/>
      <c r="H2" s="92"/>
      <c r="I2" s="92"/>
      <c r="J2" s="92"/>
      <c r="K2" s="92"/>
      <c r="L2" s="92"/>
      <c r="M2" s="92"/>
      <c r="N2" s="92"/>
      <c r="O2" s="92"/>
      <c r="P2" s="92"/>
      <c r="Q2" s="92"/>
      <c r="R2" s="92"/>
      <c r="S2" s="92"/>
      <c r="T2" s="92"/>
      <c r="U2" s="92"/>
      <c r="V2" s="92"/>
      <c r="W2" s="92"/>
      <c r="X2" s="92"/>
      <c r="Y2" s="92"/>
      <c r="Z2" s="92"/>
      <c r="AA2" s="92"/>
      <c r="AB2" s="92"/>
      <c r="AC2" s="92"/>
      <c r="AD2" s="92"/>
      <c r="AE2" s="92"/>
      <c r="AF2" s="92"/>
      <c r="AG2" s="94"/>
    </row>
    <row r="3" spans="2:34" ht="15" customHeight="1">
      <c r="B3" s="95"/>
      <c r="C3" s="96"/>
      <c r="D3" s="97"/>
      <c r="E3" s="96"/>
      <c r="F3" s="96"/>
      <c r="G3" s="96"/>
      <c r="H3" s="96"/>
      <c r="I3" s="96"/>
      <c r="J3" s="96"/>
      <c r="K3" s="96"/>
      <c r="L3" s="96"/>
      <c r="M3" s="98" t="s">
        <v>1</v>
      </c>
      <c r="N3" s="99"/>
      <c r="O3" s="99"/>
      <c r="P3" s="99"/>
      <c r="Q3" s="99"/>
      <c r="R3" s="99"/>
      <c r="S3" s="99"/>
      <c r="T3" s="99"/>
      <c r="U3" s="99"/>
      <c r="V3" s="100"/>
      <c r="W3" s="101"/>
      <c r="X3" s="96"/>
      <c r="Y3" s="96"/>
      <c r="Z3" s="96"/>
      <c r="AA3" s="96"/>
      <c r="AB3" s="96"/>
      <c r="AC3" s="190" t="s">
        <v>113</v>
      </c>
      <c r="AD3" s="191"/>
      <c r="AE3" s="191"/>
      <c r="AF3" s="192"/>
      <c r="AG3" s="102"/>
    </row>
    <row r="4" spans="2:34" ht="12.75" customHeight="1">
      <c r="B4" s="95"/>
      <c r="C4" s="96"/>
      <c r="D4" s="97"/>
      <c r="E4" s="96"/>
      <c r="F4" s="96"/>
      <c r="G4" s="96"/>
      <c r="H4" s="96"/>
      <c r="I4" s="96"/>
      <c r="J4" s="96"/>
      <c r="K4" s="96"/>
      <c r="L4" s="96"/>
      <c r="M4" s="103"/>
      <c r="N4" s="104"/>
      <c r="O4" s="104"/>
      <c r="P4" s="104"/>
      <c r="Q4" s="104"/>
      <c r="R4" s="104"/>
      <c r="S4" s="104"/>
      <c r="T4" s="104"/>
      <c r="U4" s="104"/>
      <c r="V4" s="105"/>
      <c r="W4" s="101"/>
      <c r="X4" s="96"/>
      <c r="Y4" s="96"/>
      <c r="Z4" s="96"/>
      <c r="AA4" s="96"/>
      <c r="AB4" s="96"/>
      <c r="AC4" s="96"/>
      <c r="AD4" s="96"/>
      <c r="AE4" s="96"/>
      <c r="AF4" s="96"/>
      <c r="AG4" s="102"/>
    </row>
    <row r="5" spans="2:34" ht="3" customHeight="1">
      <c r="B5" s="102"/>
      <c r="C5" s="96"/>
      <c r="D5" s="96"/>
      <c r="E5" s="96"/>
      <c r="F5" s="96"/>
      <c r="G5" s="96"/>
      <c r="H5" s="96"/>
      <c r="I5" s="96"/>
      <c r="J5" s="96"/>
      <c r="K5" s="96"/>
      <c r="L5" s="96"/>
      <c r="M5" s="96"/>
      <c r="N5" s="96"/>
      <c r="O5" s="96"/>
      <c r="P5" s="96"/>
      <c r="Q5" s="96"/>
      <c r="R5" s="96"/>
      <c r="S5" s="96"/>
      <c r="T5" s="96"/>
      <c r="U5" s="96"/>
      <c r="V5" s="96"/>
      <c r="W5" s="96"/>
      <c r="X5" s="96"/>
      <c r="Y5" s="96"/>
      <c r="Z5" s="96"/>
      <c r="AA5" s="96"/>
      <c r="AB5" s="96"/>
      <c r="AC5" s="96"/>
      <c r="AD5" s="96"/>
      <c r="AE5" s="96"/>
      <c r="AF5" s="96"/>
      <c r="AG5" s="102"/>
    </row>
    <row r="6" spans="2:34" ht="25.5" customHeight="1">
      <c r="B6" s="106"/>
      <c r="C6" s="107"/>
      <c r="D6" s="107"/>
      <c r="E6" s="107"/>
      <c r="F6" s="107"/>
      <c r="G6" s="107"/>
      <c r="H6" s="107"/>
      <c r="I6" s="107"/>
      <c r="J6" s="107"/>
      <c r="K6" s="107"/>
      <c r="L6" s="107"/>
      <c r="M6" s="107"/>
      <c r="N6" s="107"/>
      <c r="O6" s="107"/>
      <c r="P6" s="107"/>
      <c r="Q6" s="107"/>
      <c r="R6" s="107"/>
      <c r="S6" s="107"/>
      <c r="T6" s="107"/>
      <c r="U6" s="107"/>
      <c r="V6" s="107"/>
      <c r="W6" s="107"/>
      <c r="X6" s="107"/>
      <c r="Y6" s="107"/>
      <c r="Z6" s="107"/>
      <c r="AA6" s="107"/>
      <c r="AB6" s="107"/>
      <c r="AC6" s="107"/>
      <c r="AD6" s="107"/>
      <c r="AE6" s="107"/>
      <c r="AF6" s="107"/>
      <c r="AG6" s="106"/>
    </row>
    <row r="7" spans="2:34" ht="3" customHeight="1">
      <c r="B7" s="106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  <c r="R7" s="108"/>
      <c r="S7" s="108"/>
      <c r="T7" s="108"/>
      <c r="U7" s="108"/>
      <c r="V7" s="108"/>
      <c r="W7" s="108"/>
      <c r="X7" s="108"/>
      <c r="Y7" s="108"/>
      <c r="Z7" s="108"/>
      <c r="AA7" s="108"/>
      <c r="AB7" s="108"/>
      <c r="AC7" s="108"/>
      <c r="AD7" s="108"/>
      <c r="AE7" s="108"/>
      <c r="AF7" s="108"/>
      <c r="AG7" s="106"/>
    </row>
    <row r="8" spans="2:34" ht="14.25" customHeight="1">
      <c r="B8" s="102"/>
      <c r="C8" s="109"/>
      <c r="D8" s="109"/>
      <c r="E8" s="180" t="s">
        <v>11</v>
      </c>
      <c r="F8" s="181"/>
      <c r="G8" s="110"/>
      <c r="H8" s="110"/>
      <c r="I8" s="110" t="s">
        <v>2</v>
      </c>
      <c r="J8" s="111"/>
      <c r="K8" s="112"/>
      <c r="L8" s="113"/>
      <c r="M8" s="114"/>
      <c r="N8" s="115"/>
      <c r="O8" s="116" t="s">
        <v>24</v>
      </c>
      <c r="P8" s="117"/>
      <c r="Q8" s="118"/>
      <c r="R8" s="119"/>
      <c r="S8" s="110"/>
      <c r="T8" s="110"/>
      <c r="U8" s="110"/>
      <c r="V8" s="116" t="s">
        <v>6</v>
      </c>
      <c r="W8" s="116"/>
      <c r="X8" s="117"/>
      <c r="Y8" s="120"/>
      <c r="Z8" s="121"/>
      <c r="AA8" s="121"/>
      <c r="AB8" s="122"/>
      <c r="AC8" s="110"/>
      <c r="AD8" s="110"/>
      <c r="AE8" s="110"/>
      <c r="AF8" s="110"/>
      <c r="AG8" s="102"/>
    </row>
    <row r="9" spans="2:34" ht="4.5" customHeight="1">
      <c r="B9" s="102"/>
      <c r="C9" s="109"/>
      <c r="D9" s="109"/>
      <c r="E9" s="110"/>
      <c r="F9" s="110"/>
      <c r="G9" s="110"/>
      <c r="H9" s="110"/>
      <c r="I9" s="110"/>
      <c r="J9" s="123"/>
      <c r="K9" s="124"/>
      <c r="L9" s="125"/>
      <c r="M9" s="110"/>
      <c r="N9" s="125"/>
      <c r="O9" s="126"/>
      <c r="P9" s="126"/>
      <c r="Q9" s="124"/>
      <c r="R9" s="127"/>
      <c r="S9" s="110"/>
      <c r="T9" s="110"/>
      <c r="U9" s="110"/>
      <c r="V9" s="126"/>
      <c r="W9" s="126"/>
      <c r="X9" s="128"/>
      <c r="Y9" s="124"/>
      <c r="AA9" s="123"/>
      <c r="AB9" s="123"/>
      <c r="AC9" s="110"/>
      <c r="AD9" s="110"/>
      <c r="AE9" s="110"/>
      <c r="AF9" s="110"/>
      <c r="AG9" s="102"/>
    </row>
    <row r="10" spans="2:34" ht="15" customHeight="1">
      <c r="B10" s="102"/>
      <c r="C10" s="109"/>
      <c r="D10" s="109"/>
      <c r="E10" s="182" t="s">
        <v>12</v>
      </c>
      <c r="F10" s="183"/>
      <c r="G10" s="110"/>
      <c r="H10" s="110"/>
      <c r="I10" s="125" t="s">
        <v>3</v>
      </c>
      <c r="J10" s="129"/>
      <c r="K10" s="112"/>
      <c r="L10" s="113"/>
      <c r="M10" s="110"/>
      <c r="N10" s="130"/>
      <c r="O10" s="131" t="s">
        <v>62</v>
      </c>
      <c r="P10" s="117"/>
      <c r="Q10" s="132"/>
      <c r="R10" s="133"/>
      <c r="S10" s="125"/>
      <c r="T10" s="125"/>
      <c r="U10" s="125"/>
      <c r="V10" s="131" t="s">
        <v>8</v>
      </c>
      <c r="W10" s="131"/>
      <c r="X10" s="117"/>
      <c r="Y10" s="134"/>
      <c r="Z10" s="135"/>
      <c r="AA10" s="135"/>
      <c r="AB10" s="136"/>
      <c r="AC10" s="125"/>
      <c r="AD10" s="125"/>
      <c r="AE10" s="125"/>
      <c r="AF10" s="125"/>
      <c r="AG10" s="102"/>
    </row>
    <row r="11" spans="2:34" ht="4.5" customHeight="1">
      <c r="B11" s="102"/>
      <c r="C11" s="109"/>
      <c r="D11" s="109"/>
      <c r="E11" s="125"/>
      <c r="F11" s="110"/>
      <c r="G11" s="110"/>
      <c r="H11" s="110"/>
      <c r="I11" s="125"/>
      <c r="J11" s="127"/>
      <c r="K11" s="124"/>
      <c r="L11" s="125"/>
      <c r="M11" s="110"/>
      <c r="N11" s="125"/>
      <c r="O11" s="137"/>
      <c r="P11" s="137"/>
      <c r="Q11" s="124"/>
      <c r="R11" s="127"/>
      <c r="S11" s="125"/>
      <c r="T11" s="125"/>
      <c r="U11" s="125"/>
      <c r="V11" s="137"/>
      <c r="W11" s="137"/>
      <c r="X11" s="128"/>
      <c r="Y11" s="138"/>
      <c r="Z11" s="139"/>
      <c r="AA11" s="140"/>
      <c r="AB11" s="140"/>
      <c r="AC11" s="125"/>
      <c r="AD11" s="125"/>
      <c r="AE11" s="125"/>
      <c r="AF11" s="125"/>
      <c r="AG11" s="102"/>
    </row>
    <row r="12" spans="2:34">
      <c r="B12" s="102"/>
      <c r="C12" s="109"/>
      <c r="D12" s="109"/>
      <c r="E12" s="184" t="s">
        <v>13</v>
      </c>
      <c r="F12" s="185"/>
      <c r="G12" s="110"/>
      <c r="H12" s="110"/>
      <c r="I12" s="125" t="s">
        <v>58</v>
      </c>
      <c r="J12" s="111"/>
      <c r="K12" s="112"/>
      <c r="L12" s="113"/>
      <c r="M12" s="110"/>
      <c r="N12" s="141"/>
      <c r="O12" s="131" t="s">
        <v>63</v>
      </c>
      <c r="P12" s="117"/>
      <c r="Q12" s="132"/>
      <c r="R12" s="133"/>
      <c r="S12" s="125"/>
      <c r="T12" s="125"/>
      <c r="U12" s="125"/>
      <c r="V12" s="131" t="s">
        <v>7</v>
      </c>
      <c r="W12" s="131"/>
      <c r="X12" s="117"/>
      <c r="Y12" s="134"/>
      <c r="Z12" s="135"/>
      <c r="AA12" s="135"/>
      <c r="AB12" s="136"/>
      <c r="AC12" s="142" t="s">
        <v>38</v>
      </c>
      <c r="AD12" s="125"/>
      <c r="AE12" s="125"/>
      <c r="AF12" s="125"/>
      <c r="AG12" s="102"/>
    </row>
    <row r="13" spans="2:34" ht="4.5" customHeight="1">
      <c r="B13" s="102"/>
      <c r="C13" s="109"/>
      <c r="D13" s="109"/>
      <c r="E13" s="125"/>
      <c r="F13" s="110"/>
      <c r="G13" s="110"/>
      <c r="H13" s="110"/>
      <c r="I13" s="125"/>
      <c r="J13" s="127"/>
      <c r="K13" s="124"/>
      <c r="L13" s="125"/>
      <c r="M13" s="110"/>
      <c r="N13" s="125"/>
      <c r="O13" s="137"/>
      <c r="P13" s="137"/>
      <c r="Q13" s="124"/>
      <c r="R13" s="127"/>
      <c r="S13" s="125"/>
      <c r="T13" s="125"/>
      <c r="U13" s="125"/>
      <c r="V13" s="137"/>
      <c r="W13" s="137"/>
      <c r="X13" s="128"/>
      <c r="Y13" s="138"/>
      <c r="Z13" s="139"/>
      <c r="AA13" s="140"/>
      <c r="AB13" s="140"/>
      <c r="AC13" s="143"/>
      <c r="AD13" s="125"/>
      <c r="AE13" s="125"/>
      <c r="AF13" s="125"/>
      <c r="AG13" s="102"/>
    </row>
    <row r="14" spans="2:34">
      <c r="B14" s="102"/>
      <c r="C14" s="109"/>
      <c r="D14" s="109"/>
      <c r="E14" s="186" t="s">
        <v>14</v>
      </c>
      <c r="F14" s="187"/>
      <c r="G14" s="110"/>
      <c r="H14" s="110"/>
      <c r="I14" s="125" t="s">
        <v>4</v>
      </c>
      <c r="J14" s="129"/>
      <c r="K14" s="112"/>
      <c r="L14" s="113"/>
      <c r="M14" s="110"/>
      <c r="N14" s="130"/>
      <c r="O14" s="131" t="s">
        <v>23</v>
      </c>
      <c r="P14" s="117"/>
      <c r="Q14" s="132"/>
      <c r="R14" s="133"/>
      <c r="S14" s="125"/>
      <c r="T14" s="125"/>
      <c r="U14" s="125"/>
      <c r="V14" s="131" t="s">
        <v>10</v>
      </c>
      <c r="W14" s="131"/>
      <c r="X14" s="117"/>
      <c r="Y14" s="134"/>
      <c r="Z14" s="135"/>
      <c r="AA14" s="135"/>
      <c r="AB14" s="136"/>
      <c r="AC14" s="144"/>
      <c r="AD14" s="145">
        <v>44479.125532407408</v>
      </c>
      <c r="AE14" s="145"/>
      <c r="AF14" s="146"/>
      <c r="AG14" s="102"/>
      <c r="AH14" s="147">
        <f>Lastmodi</f>
        <v>44479.125532407408</v>
      </c>
    </row>
    <row r="15" spans="2:34" ht="4.5" customHeight="1">
      <c r="B15" s="102"/>
      <c r="C15" s="109"/>
      <c r="D15" s="109"/>
      <c r="E15" s="125"/>
      <c r="F15" s="110"/>
      <c r="G15" s="110"/>
      <c r="H15" s="110"/>
      <c r="I15" s="125"/>
      <c r="J15" s="127"/>
      <c r="K15" s="124"/>
      <c r="L15" s="125"/>
      <c r="M15" s="110"/>
      <c r="N15" s="125"/>
      <c r="O15" s="137"/>
      <c r="P15" s="137"/>
      <c r="Q15" s="124"/>
      <c r="R15" s="127"/>
      <c r="S15" s="125"/>
      <c r="T15" s="125"/>
      <c r="U15" s="125"/>
      <c r="V15" s="137"/>
      <c r="W15" s="137"/>
      <c r="X15" s="128"/>
      <c r="Y15" s="138"/>
      <c r="Z15" s="139"/>
      <c r="AA15" s="140"/>
      <c r="AB15" s="140"/>
      <c r="AC15" s="125"/>
      <c r="AD15" s="125"/>
      <c r="AE15" s="125"/>
      <c r="AF15" s="125"/>
      <c r="AG15" s="102"/>
    </row>
    <row r="16" spans="2:34">
      <c r="B16" s="102"/>
      <c r="C16" s="109"/>
      <c r="D16" s="109"/>
      <c r="E16" s="188" t="s">
        <v>66</v>
      </c>
      <c r="F16" s="189"/>
      <c r="G16" s="110"/>
      <c r="H16" s="110"/>
      <c r="I16" s="125" t="s">
        <v>5</v>
      </c>
      <c r="J16" s="111"/>
      <c r="K16" s="112"/>
      <c r="L16" s="113"/>
      <c r="M16" s="110"/>
      <c r="N16" s="125"/>
      <c r="O16" s="131" t="s">
        <v>91</v>
      </c>
      <c r="P16" s="117"/>
      <c r="Q16" s="132"/>
      <c r="R16" s="133"/>
      <c r="S16" s="125"/>
      <c r="T16" s="125"/>
      <c r="U16" s="125"/>
      <c r="V16" s="131" t="s">
        <v>9</v>
      </c>
      <c r="W16" s="131"/>
      <c r="X16" s="117"/>
      <c r="Y16" s="134"/>
      <c r="Z16" s="135"/>
      <c r="AA16" s="135"/>
      <c r="AB16" s="136"/>
      <c r="AC16" s="125"/>
      <c r="AD16" s="125"/>
      <c r="AE16" s="125"/>
      <c r="AF16" s="125"/>
      <c r="AG16" s="102"/>
    </row>
    <row r="17" spans="2:33" ht="3.75" customHeight="1">
      <c r="B17" s="102"/>
      <c r="C17" s="127"/>
      <c r="D17" s="127"/>
      <c r="E17" s="127"/>
      <c r="F17" s="123"/>
      <c r="G17" s="123"/>
      <c r="H17" s="123"/>
      <c r="I17" s="127"/>
      <c r="J17" s="127"/>
      <c r="K17" s="127"/>
      <c r="L17" s="127"/>
      <c r="M17" s="127"/>
      <c r="N17" s="127"/>
      <c r="O17" s="127"/>
      <c r="P17" s="127"/>
      <c r="Q17" s="127"/>
      <c r="R17" s="127"/>
      <c r="S17" s="127"/>
      <c r="T17" s="127"/>
      <c r="U17" s="127"/>
      <c r="V17" s="127"/>
      <c r="W17" s="127"/>
      <c r="X17" s="127"/>
      <c r="Y17" s="127"/>
      <c r="Z17" s="127"/>
      <c r="AA17" s="127"/>
      <c r="AB17" s="127"/>
      <c r="AC17" s="127"/>
      <c r="AD17" s="127"/>
      <c r="AE17" s="127"/>
      <c r="AF17" s="127"/>
      <c r="AG17" s="102"/>
    </row>
    <row r="18" spans="2:33" ht="5.25" customHeight="1">
      <c r="B18" s="102"/>
      <c r="C18" s="148"/>
      <c r="D18" s="148"/>
      <c r="E18" s="148"/>
      <c r="F18" s="148"/>
      <c r="G18" s="148"/>
      <c r="H18" s="148"/>
      <c r="I18" s="148"/>
      <c r="J18" s="148"/>
      <c r="K18" s="148"/>
      <c r="L18" s="148"/>
      <c r="M18" s="148"/>
      <c r="N18" s="148"/>
      <c r="O18" s="148"/>
      <c r="P18" s="148"/>
      <c r="Q18" s="148"/>
      <c r="R18" s="148"/>
      <c r="S18" s="148"/>
      <c r="T18" s="148"/>
      <c r="U18" s="148"/>
      <c r="V18" s="148"/>
      <c r="W18" s="148"/>
      <c r="X18" s="148"/>
      <c r="Y18" s="148"/>
      <c r="Z18" s="148"/>
      <c r="AA18" s="148"/>
      <c r="AB18" s="148"/>
      <c r="AC18" s="148"/>
      <c r="AD18" s="148"/>
      <c r="AE18" s="148"/>
      <c r="AF18" s="148"/>
      <c r="AG18" s="102"/>
    </row>
    <row r="19" spans="2:33" ht="18.75" customHeight="1">
      <c r="B19" s="102"/>
      <c r="C19" s="109"/>
      <c r="G19" s="149" t="s">
        <v>21</v>
      </c>
      <c r="H19" s="150"/>
      <c r="I19" s="151" t="s">
        <v>22</v>
      </c>
      <c r="J19" s="150"/>
      <c r="K19" s="152" t="s">
        <v>16</v>
      </c>
      <c r="L19" s="150"/>
      <c r="M19" s="151" t="s">
        <v>17</v>
      </c>
      <c r="N19" s="150"/>
      <c r="O19" s="151" t="s">
        <v>18</v>
      </c>
      <c r="P19" s="150"/>
      <c r="Q19" s="152" t="s">
        <v>19</v>
      </c>
      <c r="R19" s="150"/>
      <c r="S19" s="151" t="s">
        <v>20</v>
      </c>
      <c r="T19" s="150"/>
      <c r="U19" s="109"/>
      <c r="V19" s="148"/>
      <c r="W19" s="127"/>
      <c r="X19" s="109"/>
      <c r="Y19" s="109"/>
      <c r="Z19" s="109"/>
      <c r="AA19" s="109"/>
      <c r="AB19" s="109"/>
      <c r="AC19" s="109"/>
      <c r="AD19" s="109"/>
      <c r="AE19" s="109"/>
      <c r="AF19" s="109"/>
      <c r="AG19" s="102"/>
    </row>
    <row r="20" spans="2:33">
      <c r="B20" s="102"/>
      <c r="C20" s="109"/>
      <c r="D20" s="109" t="s">
        <v>15</v>
      </c>
      <c r="E20" s="153">
        <v>44409</v>
      </c>
      <c r="F20" s="109"/>
      <c r="G20" s="154" t="s">
        <v>39</v>
      </c>
      <c r="H20" s="154" t="s">
        <v>40</v>
      </c>
      <c r="I20" s="154" t="s">
        <v>39</v>
      </c>
      <c r="J20" s="154" t="s">
        <v>40</v>
      </c>
      <c r="K20" s="154" t="s">
        <v>39</v>
      </c>
      <c r="L20" s="154" t="s">
        <v>40</v>
      </c>
      <c r="M20" s="154" t="s">
        <v>39</v>
      </c>
      <c r="N20" s="154" t="s">
        <v>40</v>
      </c>
      <c r="O20" s="154" t="s">
        <v>39</v>
      </c>
      <c r="P20" s="154" t="s">
        <v>40</v>
      </c>
      <c r="Q20" s="154" t="s">
        <v>39</v>
      </c>
      <c r="R20" s="154" t="s">
        <v>40</v>
      </c>
      <c r="S20" s="154" t="s">
        <v>39</v>
      </c>
      <c r="T20" s="154" t="s">
        <v>40</v>
      </c>
      <c r="U20" s="155"/>
      <c r="V20" s="148"/>
      <c r="W20" s="127"/>
      <c r="Y20" s="156" t="s">
        <v>65</v>
      </c>
      <c r="Z20" s="118"/>
      <c r="AA20" s="119"/>
      <c r="AB20" s="109"/>
      <c r="AC20" s="109"/>
      <c r="AD20" s="109"/>
      <c r="AE20" s="109"/>
      <c r="AF20" s="109"/>
      <c r="AG20" s="102"/>
    </row>
    <row r="21" spans="2:33">
      <c r="B21" s="102"/>
      <c r="C21" s="109"/>
      <c r="D21" s="109"/>
      <c r="E21" s="157"/>
      <c r="F21" s="157"/>
      <c r="G21" s="158"/>
      <c r="H21" s="159">
        <v>44409</v>
      </c>
      <c r="I21" s="160"/>
      <c r="J21" s="159">
        <v>44410</v>
      </c>
      <c r="K21" s="160"/>
      <c r="L21" s="159">
        <v>44411</v>
      </c>
      <c r="M21" s="160"/>
      <c r="N21" s="159">
        <v>44412</v>
      </c>
      <c r="O21" s="160"/>
      <c r="P21" s="159">
        <v>44413</v>
      </c>
      <c r="Q21" s="160"/>
      <c r="R21" s="159">
        <v>44414</v>
      </c>
      <c r="S21" s="160"/>
      <c r="T21" s="159">
        <v>44415</v>
      </c>
      <c r="U21" s="161"/>
      <c r="V21" s="148"/>
      <c r="W21" s="127"/>
      <c r="X21" s="162"/>
      <c r="Y21" s="109"/>
      <c r="Z21" s="109"/>
      <c r="AA21" s="109"/>
      <c r="AB21" s="109"/>
      <c r="AC21" s="109"/>
      <c r="AD21" s="109"/>
      <c r="AE21" s="109"/>
      <c r="AF21" s="109"/>
      <c r="AG21" s="102"/>
    </row>
    <row r="22" spans="2:33">
      <c r="B22" s="102"/>
      <c r="C22" s="109"/>
      <c r="D22" s="109"/>
      <c r="E22" s="157"/>
      <c r="F22" s="157"/>
      <c r="G22" s="163"/>
      <c r="H22" s="164"/>
      <c r="I22" s="165"/>
      <c r="J22" s="164"/>
      <c r="K22" s="165"/>
      <c r="L22" s="164"/>
      <c r="M22" s="165"/>
      <c r="N22" s="164"/>
      <c r="O22" s="165"/>
      <c r="P22" s="166"/>
      <c r="Q22" s="167"/>
      <c r="R22" s="166"/>
      <c r="S22" s="165"/>
      <c r="T22" s="164"/>
      <c r="U22" s="161"/>
      <c r="V22" s="148"/>
      <c r="W22" s="127"/>
      <c r="Y22" s="156" t="s">
        <v>64</v>
      </c>
      <c r="Z22" s="118" t="s">
        <v>12</v>
      </c>
      <c r="AA22" s="119"/>
      <c r="AF22" s="109"/>
      <c r="AG22" s="102"/>
    </row>
    <row r="23" spans="2:33">
      <c r="B23" s="102"/>
      <c r="C23" s="109"/>
      <c r="D23" s="109"/>
      <c r="E23" s="109"/>
      <c r="F23" s="109"/>
      <c r="G23" s="163"/>
      <c r="H23" s="164"/>
      <c r="I23" s="165"/>
      <c r="J23" s="164"/>
      <c r="K23" s="165"/>
      <c r="L23" s="164"/>
      <c r="M23" s="165"/>
      <c r="N23" s="164"/>
      <c r="O23" s="165"/>
      <c r="P23" s="164"/>
      <c r="Q23" s="165"/>
      <c r="R23" s="164"/>
      <c r="S23" s="165"/>
      <c r="T23" s="164"/>
      <c r="U23" s="161"/>
      <c r="V23" s="148"/>
      <c r="W23" s="127"/>
      <c r="AF23" s="109"/>
      <c r="AG23" s="102"/>
    </row>
    <row r="24" spans="2:33">
      <c r="B24" s="102"/>
      <c r="C24" s="109"/>
      <c r="D24" s="109"/>
      <c r="E24" s="109"/>
      <c r="F24" s="109"/>
      <c r="G24" s="168"/>
      <c r="H24" s="169"/>
      <c r="I24" s="170"/>
      <c r="J24" s="169"/>
      <c r="K24" s="170"/>
      <c r="L24" s="169"/>
      <c r="M24" s="170"/>
      <c r="N24" s="169"/>
      <c r="O24" s="170"/>
      <c r="P24" s="169"/>
      <c r="Q24" s="170"/>
      <c r="R24" s="169"/>
      <c r="S24" s="170"/>
      <c r="T24" s="169"/>
      <c r="U24" s="161"/>
      <c r="V24" s="148"/>
      <c r="W24" s="127"/>
      <c r="AF24" s="109"/>
      <c r="AG24" s="102"/>
    </row>
    <row r="25" spans="2:33">
      <c r="B25" s="102"/>
      <c r="C25" s="109"/>
      <c r="D25" s="109"/>
      <c r="E25" s="109"/>
      <c r="F25" s="109"/>
      <c r="G25" s="158"/>
      <c r="H25" s="159">
        <v>44416</v>
      </c>
      <c r="I25" s="160"/>
      <c r="J25" s="159">
        <v>44417</v>
      </c>
      <c r="K25" s="160"/>
      <c r="L25" s="159">
        <v>44418</v>
      </c>
      <c r="M25" s="160"/>
      <c r="N25" s="159">
        <v>44419</v>
      </c>
      <c r="O25" s="160"/>
      <c r="P25" s="159">
        <v>44420</v>
      </c>
      <c r="Q25" s="160"/>
      <c r="R25" s="159">
        <v>44421</v>
      </c>
      <c r="S25" s="160"/>
      <c r="T25" s="159">
        <v>44422</v>
      </c>
      <c r="U25" s="161"/>
      <c r="V25" s="148"/>
      <c r="W25" s="127"/>
      <c r="X25" s="193">
        <v>101</v>
      </c>
      <c r="Y25" s="193">
        <v>102</v>
      </c>
      <c r="Z25" s="193">
        <v>103</v>
      </c>
      <c r="AA25" s="193">
        <v>104</v>
      </c>
      <c r="AB25" s="193">
        <v>105</v>
      </c>
      <c r="AC25" s="193">
        <v>106</v>
      </c>
      <c r="AD25" s="193">
        <v>107</v>
      </c>
      <c r="AE25" s="193">
        <v>108</v>
      </c>
      <c r="AF25" s="109"/>
      <c r="AG25" s="102"/>
    </row>
    <row r="26" spans="2:33">
      <c r="B26" s="102"/>
      <c r="C26" s="109"/>
      <c r="D26" s="109"/>
      <c r="E26" s="109"/>
      <c r="F26" s="109"/>
      <c r="G26" s="163"/>
      <c r="H26" s="164"/>
      <c r="I26" s="165"/>
      <c r="J26" s="164"/>
      <c r="K26" s="165"/>
      <c r="L26" s="164"/>
      <c r="M26" s="165"/>
      <c r="N26" s="164"/>
      <c r="O26" s="165"/>
      <c r="P26" s="164"/>
      <c r="Q26" s="165"/>
      <c r="R26" s="164"/>
      <c r="S26" s="165"/>
      <c r="T26" s="164"/>
      <c r="U26" s="161"/>
      <c r="V26" s="148"/>
      <c r="W26" s="127"/>
      <c r="X26" s="193">
        <v>109</v>
      </c>
      <c r="Y26" s="193">
        <v>110</v>
      </c>
      <c r="Z26" s="193">
        <v>111</v>
      </c>
      <c r="AA26" s="193">
        <v>112</v>
      </c>
      <c r="AB26" s="193">
        <v>113</v>
      </c>
      <c r="AC26" s="193">
        <v>114</v>
      </c>
      <c r="AD26" s="193">
        <v>115</v>
      </c>
      <c r="AE26" s="193">
        <v>116</v>
      </c>
      <c r="AF26" s="109"/>
      <c r="AG26" s="102"/>
    </row>
    <row r="27" spans="2:33">
      <c r="B27" s="102"/>
      <c r="C27" s="109"/>
      <c r="D27" s="109"/>
      <c r="E27" s="109"/>
      <c r="F27" s="109"/>
      <c r="G27" s="163"/>
      <c r="H27" s="164"/>
      <c r="I27" s="165"/>
      <c r="J27" s="164"/>
      <c r="K27" s="165"/>
      <c r="L27" s="164"/>
      <c r="M27" s="165"/>
      <c r="N27" s="164"/>
      <c r="O27" s="165"/>
      <c r="P27" s="164"/>
      <c r="Q27" s="165"/>
      <c r="R27" s="164"/>
      <c r="S27" s="165"/>
      <c r="T27" s="164"/>
      <c r="U27" s="161"/>
      <c r="V27" s="148"/>
      <c r="W27" s="127"/>
      <c r="X27" s="193">
        <v>117</v>
      </c>
      <c r="Y27" s="193">
        <v>118</v>
      </c>
      <c r="Z27" s="193">
        <v>119</v>
      </c>
      <c r="AA27" s="193">
        <v>120</v>
      </c>
      <c r="AB27" s="193">
        <v>121</v>
      </c>
      <c r="AC27" s="193">
        <v>122</v>
      </c>
      <c r="AD27" s="193">
        <v>123</v>
      </c>
      <c r="AE27" s="193">
        <v>124</v>
      </c>
      <c r="AF27" s="109"/>
      <c r="AG27" s="102"/>
    </row>
    <row r="28" spans="2:33">
      <c r="B28" s="102"/>
      <c r="C28" s="109"/>
      <c r="D28" s="109"/>
      <c r="E28" s="109"/>
      <c r="F28" s="109"/>
      <c r="G28" s="168"/>
      <c r="H28" s="169"/>
      <c r="I28" s="170"/>
      <c r="J28" s="169"/>
      <c r="K28" s="170"/>
      <c r="L28" s="169"/>
      <c r="M28" s="170"/>
      <c r="N28" s="169"/>
      <c r="O28" s="170"/>
      <c r="P28" s="169"/>
      <c r="Q28" s="170"/>
      <c r="R28" s="169"/>
      <c r="S28" s="170"/>
      <c r="T28" s="169"/>
      <c r="U28" s="161"/>
      <c r="V28" s="148"/>
      <c r="W28" s="127"/>
      <c r="X28" s="193">
        <v>125</v>
      </c>
      <c r="Y28" s="193">
        <v>126</v>
      </c>
      <c r="Z28" s="193">
        <v>127</v>
      </c>
      <c r="AA28" s="193">
        <v>128</v>
      </c>
      <c r="AB28" s="193">
        <v>129</v>
      </c>
      <c r="AC28" s="193">
        <v>130</v>
      </c>
      <c r="AD28" s="193">
        <v>131</v>
      </c>
      <c r="AE28" s="193">
        <v>132</v>
      </c>
      <c r="AF28" s="109"/>
      <c r="AG28" s="102"/>
    </row>
    <row r="29" spans="2:33">
      <c r="B29" s="102"/>
      <c r="C29" s="109"/>
      <c r="D29" s="109"/>
      <c r="E29" s="109"/>
      <c r="F29" s="109"/>
      <c r="G29" s="158"/>
      <c r="H29" s="159">
        <v>44423</v>
      </c>
      <c r="I29" s="160"/>
      <c r="J29" s="159">
        <v>44424</v>
      </c>
      <c r="K29" s="160"/>
      <c r="L29" s="159">
        <v>44425</v>
      </c>
      <c r="M29" s="160"/>
      <c r="N29" s="159">
        <v>44426</v>
      </c>
      <c r="O29" s="160"/>
      <c r="P29" s="159">
        <v>44427</v>
      </c>
      <c r="Q29" s="160"/>
      <c r="R29" s="159">
        <v>44428</v>
      </c>
      <c r="S29" s="160"/>
      <c r="T29" s="159">
        <v>44429</v>
      </c>
      <c r="U29" s="161"/>
      <c r="V29" s="148"/>
      <c r="W29" s="127"/>
      <c r="X29" s="193">
        <v>133</v>
      </c>
      <c r="Y29" s="193">
        <v>134</v>
      </c>
      <c r="Z29" s="193">
        <v>135</v>
      </c>
      <c r="AA29" s="193">
        <v>136</v>
      </c>
      <c r="AB29" s="193">
        <v>137</v>
      </c>
      <c r="AC29" s="193">
        <v>138</v>
      </c>
      <c r="AD29" s="193">
        <v>139</v>
      </c>
      <c r="AE29" s="193">
        <v>140</v>
      </c>
      <c r="AF29" s="109"/>
      <c r="AG29" s="102"/>
    </row>
    <row r="30" spans="2:33">
      <c r="B30" s="102"/>
      <c r="C30" s="109"/>
      <c r="D30" s="109"/>
      <c r="E30" s="109"/>
      <c r="F30" s="109"/>
      <c r="G30" s="163"/>
      <c r="H30" s="164"/>
      <c r="I30" s="165"/>
      <c r="J30" s="164"/>
      <c r="K30" s="165"/>
      <c r="L30" s="164"/>
      <c r="M30" s="165"/>
      <c r="N30" s="164"/>
      <c r="O30" s="165"/>
      <c r="P30" s="164"/>
      <c r="Q30" s="165"/>
      <c r="R30" s="164"/>
      <c r="S30" s="165"/>
      <c r="T30" s="164"/>
      <c r="U30" s="161"/>
      <c r="V30" s="148"/>
      <c r="W30" s="127"/>
      <c r="X30" s="193">
        <v>141</v>
      </c>
      <c r="Y30" s="193">
        <v>142</v>
      </c>
      <c r="Z30" s="193">
        <v>143</v>
      </c>
      <c r="AA30" s="193">
        <v>144</v>
      </c>
      <c r="AB30" s="193">
        <v>145</v>
      </c>
      <c r="AC30" s="193">
        <v>146</v>
      </c>
      <c r="AD30" s="193">
        <v>147</v>
      </c>
      <c r="AE30" s="193">
        <v>148</v>
      </c>
      <c r="AF30" s="109"/>
      <c r="AG30" s="102"/>
    </row>
    <row r="31" spans="2:33">
      <c r="B31" s="102"/>
      <c r="C31" s="109"/>
      <c r="D31" s="109"/>
      <c r="E31" s="109"/>
      <c r="F31" s="109"/>
      <c r="G31" s="163"/>
      <c r="H31" s="164"/>
      <c r="I31" s="165"/>
      <c r="J31" s="164"/>
      <c r="K31" s="165"/>
      <c r="L31" s="164"/>
      <c r="M31" s="165"/>
      <c r="N31" s="164"/>
      <c r="O31" s="165"/>
      <c r="P31" s="164"/>
      <c r="Q31" s="165"/>
      <c r="R31" s="164"/>
      <c r="S31" s="165"/>
      <c r="T31" s="164"/>
      <c r="U31" s="161"/>
      <c r="V31" s="148"/>
      <c r="W31" s="127"/>
      <c r="X31" s="193">
        <v>149</v>
      </c>
      <c r="Y31" s="193">
        <v>150</v>
      </c>
      <c r="Z31" s="193">
        <v>151</v>
      </c>
      <c r="AA31" s="193">
        <v>152</v>
      </c>
      <c r="AB31" s="193">
        <v>153</v>
      </c>
      <c r="AC31" s="193">
        <v>154</v>
      </c>
      <c r="AD31" s="193">
        <v>155</v>
      </c>
      <c r="AE31" s="193">
        <v>156</v>
      </c>
      <c r="AF31" s="109"/>
      <c r="AG31" s="102"/>
    </row>
    <row r="32" spans="2:33">
      <c r="B32" s="102"/>
      <c r="C32" s="109"/>
      <c r="D32" s="109"/>
      <c r="E32" s="109"/>
      <c r="F32" s="109"/>
      <c r="G32" s="168"/>
      <c r="H32" s="169"/>
      <c r="I32" s="170"/>
      <c r="J32" s="169"/>
      <c r="K32" s="170"/>
      <c r="L32" s="169"/>
      <c r="M32" s="170"/>
      <c r="N32" s="169"/>
      <c r="O32" s="170"/>
      <c r="P32" s="169"/>
      <c r="Q32" s="170"/>
      <c r="R32" s="169"/>
      <c r="S32" s="170"/>
      <c r="T32" s="169"/>
      <c r="U32" s="161"/>
      <c r="V32" s="148"/>
      <c r="W32" s="127"/>
      <c r="X32" s="193">
        <v>157</v>
      </c>
      <c r="Y32" s="193">
        <v>158</v>
      </c>
      <c r="Z32" s="193">
        <v>159</v>
      </c>
      <c r="AA32" s="193">
        <v>160</v>
      </c>
      <c r="AB32" s="193">
        <v>161</v>
      </c>
      <c r="AC32" s="193">
        <v>162</v>
      </c>
      <c r="AD32" s="193">
        <v>163</v>
      </c>
      <c r="AE32" s="193">
        <v>164</v>
      </c>
      <c r="AF32" s="109"/>
      <c r="AG32" s="102"/>
    </row>
    <row r="33" spans="2:33">
      <c r="B33" s="102"/>
      <c r="C33" s="109"/>
      <c r="D33" s="109"/>
      <c r="E33" s="109"/>
      <c r="F33" s="109"/>
      <c r="G33" s="158"/>
      <c r="H33" s="159">
        <v>44430</v>
      </c>
      <c r="I33" s="160"/>
      <c r="J33" s="159">
        <v>44431</v>
      </c>
      <c r="K33" s="160"/>
      <c r="L33" s="159">
        <v>44432</v>
      </c>
      <c r="M33" s="160"/>
      <c r="N33" s="159">
        <v>44433</v>
      </c>
      <c r="O33" s="160"/>
      <c r="P33" s="159">
        <v>44434</v>
      </c>
      <c r="Q33" s="160"/>
      <c r="R33" s="159">
        <v>44435</v>
      </c>
      <c r="S33" s="160"/>
      <c r="T33" s="159">
        <v>44436</v>
      </c>
      <c r="U33" s="161"/>
      <c r="V33" s="148"/>
      <c r="W33" s="127"/>
      <c r="X33" s="193">
        <v>165</v>
      </c>
      <c r="Y33" s="193">
        <v>166</v>
      </c>
      <c r="Z33" s="193">
        <v>167</v>
      </c>
      <c r="AA33" s="193">
        <v>168</v>
      </c>
      <c r="AB33" s="193">
        <v>169</v>
      </c>
      <c r="AC33" s="193">
        <v>170</v>
      </c>
      <c r="AD33" s="193">
        <v>171</v>
      </c>
      <c r="AE33" s="193">
        <v>172</v>
      </c>
      <c r="AF33" s="109"/>
      <c r="AG33" s="102"/>
    </row>
    <row r="34" spans="2:33">
      <c r="B34" s="102"/>
      <c r="C34" s="109"/>
      <c r="D34" s="109"/>
      <c r="E34" s="109"/>
      <c r="F34" s="109"/>
      <c r="G34" s="163"/>
      <c r="H34" s="164"/>
      <c r="I34" s="165"/>
      <c r="J34" s="164"/>
      <c r="K34" s="165"/>
      <c r="L34" s="164"/>
      <c r="M34" s="165"/>
      <c r="N34" s="164"/>
      <c r="O34" s="165"/>
      <c r="P34" s="164"/>
      <c r="Q34" s="165"/>
      <c r="R34" s="164"/>
      <c r="S34" s="165"/>
      <c r="T34" s="164"/>
      <c r="U34" s="161"/>
      <c r="V34" s="148"/>
      <c r="W34" s="127"/>
      <c r="X34" s="193">
        <v>173</v>
      </c>
      <c r="Y34" s="193">
        <v>174</v>
      </c>
      <c r="Z34" s="193">
        <v>175</v>
      </c>
      <c r="AA34" s="193">
        <v>176</v>
      </c>
      <c r="AB34" s="193">
        <v>177</v>
      </c>
      <c r="AC34" s="193">
        <v>178</v>
      </c>
      <c r="AD34" s="193">
        <v>179</v>
      </c>
      <c r="AE34" s="193">
        <v>180</v>
      </c>
      <c r="AF34" s="109"/>
      <c r="AG34" s="102"/>
    </row>
    <row r="35" spans="2:33">
      <c r="B35" s="102"/>
      <c r="C35" s="109"/>
      <c r="D35" s="109"/>
      <c r="E35" s="109"/>
      <c r="F35" s="109"/>
      <c r="G35" s="163"/>
      <c r="H35" s="164"/>
      <c r="I35" s="165"/>
      <c r="J35" s="164"/>
      <c r="K35" s="165"/>
      <c r="L35" s="164"/>
      <c r="M35" s="165"/>
      <c r="N35" s="164"/>
      <c r="O35" s="165"/>
      <c r="P35" s="164"/>
      <c r="Q35" s="165"/>
      <c r="R35" s="164"/>
      <c r="S35" s="165"/>
      <c r="T35" s="164"/>
      <c r="U35" s="161"/>
      <c r="V35" s="148"/>
      <c r="W35" s="127"/>
      <c r="X35" s="193">
        <v>181</v>
      </c>
      <c r="Y35" s="193">
        <v>182</v>
      </c>
      <c r="Z35" s="193">
        <v>183</v>
      </c>
      <c r="AA35" s="193">
        <v>184</v>
      </c>
      <c r="AB35" s="193">
        <v>185</v>
      </c>
      <c r="AC35" s="193">
        <v>186</v>
      </c>
      <c r="AD35" s="193">
        <v>187</v>
      </c>
      <c r="AE35" s="193">
        <v>188</v>
      </c>
      <c r="AF35" s="109"/>
      <c r="AG35" s="102"/>
    </row>
    <row r="36" spans="2:33">
      <c r="B36" s="102">
        <v>44213</v>
      </c>
      <c r="C36" s="109"/>
      <c r="D36" s="109"/>
      <c r="E36" s="109"/>
      <c r="F36" s="109"/>
      <c r="G36" s="168"/>
      <c r="H36" s="169"/>
      <c r="I36" s="170"/>
      <c r="J36" s="169"/>
      <c r="K36" s="170"/>
      <c r="L36" s="169"/>
      <c r="M36" s="170"/>
      <c r="N36" s="169"/>
      <c r="O36" s="170"/>
      <c r="P36" s="169"/>
      <c r="Q36" s="170"/>
      <c r="R36" s="169"/>
      <c r="S36" s="170"/>
      <c r="T36" s="169"/>
      <c r="U36" s="161"/>
      <c r="V36" s="148"/>
      <c r="W36" s="127"/>
      <c r="X36" s="193">
        <v>189</v>
      </c>
      <c r="Y36" s="193">
        <v>190</v>
      </c>
      <c r="Z36" s="193">
        <v>191</v>
      </c>
      <c r="AA36" s="193">
        <v>192</v>
      </c>
      <c r="AB36" s="193">
        <v>193</v>
      </c>
      <c r="AC36" s="193">
        <v>194</v>
      </c>
      <c r="AD36" s="193">
        <v>195</v>
      </c>
      <c r="AE36" s="193">
        <v>196</v>
      </c>
      <c r="AF36" s="109"/>
      <c r="AG36" s="102"/>
    </row>
    <row r="37" spans="2:33">
      <c r="B37" s="171"/>
      <c r="C37" s="109"/>
      <c r="D37" s="109"/>
      <c r="E37" s="109"/>
      <c r="F37" s="109"/>
      <c r="G37" s="158"/>
      <c r="H37" s="159">
        <v>44437</v>
      </c>
      <c r="I37" s="160"/>
      <c r="J37" s="159">
        <v>44438</v>
      </c>
      <c r="K37" s="160"/>
      <c r="L37" s="159">
        <v>44439</v>
      </c>
      <c r="M37" s="160"/>
      <c r="N37" s="159"/>
      <c r="O37" s="160"/>
      <c r="P37" s="159"/>
      <c r="Q37" s="160"/>
      <c r="R37" s="159"/>
      <c r="S37" s="160"/>
      <c r="T37" s="159"/>
      <c r="U37" s="161"/>
      <c r="V37" s="148"/>
      <c r="W37" s="127"/>
      <c r="X37" s="193">
        <v>197</v>
      </c>
      <c r="Y37" s="193">
        <v>198</v>
      </c>
      <c r="Z37" s="193">
        <v>199</v>
      </c>
      <c r="AA37" s="193">
        <v>200</v>
      </c>
      <c r="AB37" s="193">
        <v>201</v>
      </c>
      <c r="AC37" s="193">
        <v>202</v>
      </c>
      <c r="AD37" s="193">
        <v>203</v>
      </c>
      <c r="AE37" s="193">
        <v>204</v>
      </c>
      <c r="AF37" s="109"/>
      <c r="AG37" s="102"/>
    </row>
    <row r="38" spans="2:33">
      <c r="B38" s="102"/>
      <c r="C38" s="109"/>
      <c r="D38" s="109"/>
      <c r="E38" s="109"/>
      <c r="F38" s="109"/>
      <c r="G38" s="163"/>
      <c r="H38" s="164"/>
      <c r="I38" s="165"/>
      <c r="J38" s="164"/>
      <c r="K38" s="165"/>
      <c r="L38" s="164"/>
      <c r="M38" s="165"/>
      <c r="N38" s="164"/>
      <c r="O38" s="165"/>
      <c r="P38" s="164"/>
      <c r="Q38" s="165"/>
      <c r="R38" s="164"/>
      <c r="S38" s="165"/>
      <c r="T38" s="164"/>
      <c r="U38" s="161"/>
      <c r="V38" s="148"/>
      <c r="W38" s="127"/>
      <c r="X38" s="193">
        <v>205</v>
      </c>
      <c r="Y38" s="193">
        <v>206</v>
      </c>
      <c r="Z38" s="193">
        <v>207</v>
      </c>
      <c r="AA38" s="193">
        <v>208</v>
      </c>
      <c r="AB38" s="193">
        <v>209</v>
      </c>
      <c r="AC38" s="193">
        <v>210</v>
      </c>
      <c r="AD38" s="193">
        <v>211</v>
      </c>
      <c r="AE38" s="193">
        <v>212</v>
      </c>
      <c r="AF38" s="109"/>
      <c r="AG38" s="102"/>
    </row>
    <row r="39" spans="2:33">
      <c r="B39" s="102"/>
      <c r="C39" s="109"/>
      <c r="D39" s="109"/>
      <c r="E39" s="109"/>
      <c r="F39" s="109"/>
      <c r="G39" s="163"/>
      <c r="H39" s="164"/>
      <c r="I39" s="165"/>
      <c r="J39" s="164"/>
      <c r="K39" s="165"/>
      <c r="L39" s="164"/>
      <c r="M39" s="165"/>
      <c r="N39" s="164"/>
      <c r="O39" s="165"/>
      <c r="P39" s="164"/>
      <c r="Q39" s="165"/>
      <c r="R39" s="164"/>
      <c r="S39" s="165"/>
      <c r="T39" s="164"/>
      <c r="U39" s="161"/>
      <c r="V39" s="148"/>
      <c r="W39" s="127"/>
      <c r="X39" s="193">
        <v>213</v>
      </c>
      <c r="Y39" s="193">
        <v>214</v>
      </c>
      <c r="Z39" s="193">
        <v>215</v>
      </c>
      <c r="AA39" s="193">
        <v>216</v>
      </c>
      <c r="AB39" s="193">
        <v>217</v>
      </c>
      <c r="AC39" s="193">
        <v>218</v>
      </c>
      <c r="AD39" s="193">
        <v>219</v>
      </c>
      <c r="AE39" s="193">
        <v>220</v>
      </c>
      <c r="AF39" s="109"/>
      <c r="AG39" s="102"/>
    </row>
    <row r="40" spans="2:33">
      <c r="B40" s="102"/>
      <c r="C40" s="109"/>
      <c r="D40" s="109"/>
      <c r="E40" s="109"/>
      <c r="F40" s="109"/>
      <c r="G40" s="163"/>
      <c r="H40" s="164"/>
      <c r="I40" s="170"/>
      <c r="J40" s="169"/>
      <c r="K40" s="170"/>
      <c r="L40" s="169"/>
      <c r="M40" s="170"/>
      <c r="N40" s="169"/>
      <c r="O40" s="170"/>
      <c r="P40" s="169"/>
      <c r="Q40" s="170"/>
      <c r="R40" s="169"/>
      <c r="S40" s="170"/>
      <c r="T40" s="169"/>
      <c r="U40" s="161"/>
      <c r="V40" s="148"/>
      <c r="W40" s="127"/>
      <c r="X40" s="193">
        <v>221</v>
      </c>
      <c r="Y40" s="193">
        <v>222</v>
      </c>
      <c r="Z40" s="193">
        <v>223</v>
      </c>
      <c r="AA40" s="193">
        <v>224</v>
      </c>
      <c r="AB40" s="193">
        <v>225</v>
      </c>
      <c r="AC40" s="193">
        <v>226</v>
      </c>
      <c r="AD40" s="193">
        <v>227</v>
      </c>
      <c r="AE40" s="193">
        <v>228</v>
      </c>
      <c r="AF40" s="109"/>
      <c r="AG40" s="102"/>
    </row>
    <row r="41" spans="2:33" ht="17.25" customHeight="1">
      <c r="B41" s="102"/>
      <c r="C41" s="127"/>
      <c r="D41" s="127"/>
      <c r="E41" s="127"/>
      <c r="F41" s="127"/>
      <c r="G41" s="158"/>
      <c r="H41" s="159"/>
      <c r="I41" s="172"/>
      <c r="J41" s="159"/>
      <c r="K41" s="160"/>
      <c r="L41" s="159"/>
      <c r="M41" s="160"/>
      <c r="N41" s="159"/>
      <c r="O41" s="160"/>
      <c r="P41" s="159"/>
      <c r="Q41" s="160"/>
      <c r="R41" s="159"/>
      <c r="S41" s="160"/>
      <c r="T41" s="159"/>
      <c r="U41" s="161"/>
      <c r="V41" s="148"/>
      <c r="W41" s="127"/>
      <c r="X41" s="193">
        <v>229</v>
      </c>
      <c r="Y41" s="193">
        <v>230</v>
      </c>
      <c r="Z41" s="193">
        <v>231</v>
      </c>
      <c r="AA41" s="193">
        <v>232</v>
      </c>
      <c r="AB41" s="193">
        <v>233</v>
      </c>
      <c r="AC41" s="193">
        <v>234</v>
      </c>
      <c r="AD41" s="193">
        <v>235</v>
      </c>
      <c r="AE41" s="193">
        <v>236</v>
      </c>
      <c r="AF41" s="127"/>
      <c r="AG41" s="102"/>
    </row>
    <row r="42" spans="2:33">
      <c r="B42" s="173"/>
      <c r="E42" s="109"/>
      <c r="F42" s="109"/>
      <c r="G42" s="163"/>
      <c r="H42" s="164"/>
      <c r="I42" s="161"/>
      <c r="J42" s="164"/>
      <c r="K42" s="165"/>
      <c r="L42" s="164"/>
      <c r="M42" s="165"/>
      <c r="N42" s="164"/>
      <c r="O42" s="165"/>
      <c r="P42" s="164"/>
      <c r="Q42" s="165"/>
      <c r="R42" s="164"/>
      <c r="S42" s="165"/>
      <c r="T42" s="164"/>
      <c r="U42" s="161"/>
      <c r="V42" s="174"/>
      <c r="W42" s="123"/>
      <c r="X42" s="193">
        <v>237</v>
      </c>
      <c r="Y42" s="193">
        <v>238</v>
      </c>
      <c r="Z42" s="193">
        <v>239</v>
      </c>
      <c r="AA42" s="193">
        <v>240</v>
      </c>
      <c r="AB42" s="193">
        <v>241</v>
      </c>
      <c r="AC42" s="193">
        <v>242</v>
      </c>
      <c r="AD42" s="193">
        <v>243</v>
      </c>
      <c r="AE42" s="193">
        <v>244</v>
      </c>
      <c r="AG42" s="173"/>
    </row>
    <row r="43" spans="2:33">
      <c r="B43" s="102"/>
      <c r="E43" s="109"/>
      <c r="F43" s="109"/>
      <c r="G43" s="163"/>
      <c r="H43" s="164"/>
      <c r="I43" s="161"/>
      <c r="J43" s="164"/>
      <c r="K43" s="165"/>
      <c r="L43" s="164"/>
      <c r="M43" s="165"/>
      <c r="N43" s="164"/>
      <c r="O43" s="165"/>
      <c r="P43" s="164"/>
      <c r="Q43" s="165"/>
      <c r="R43" s="164"/>
      <c r="S43" s="165"/>
      <c r="T43" s="164"/>
      <c r="U43" s="161"/>
      <c r="V43" s="174"/>
      <c r="W43" s="123"/>
      <c r="X43" s="193">
        <v>245</v>
      </c>
      <c r="Y43" s="193">
        <v>246</v>
      </c>
      <c r="Z43" s="193">
        <v>247</v>
      </c>
      <c r="AA43" s="193">
        <v>248</v>
      </c>
      <c r="AB43" s="193">
        <v>249</v>
      </c>
      <c r="AC43" s="193">
        <v>250</v>
      </c>
      <c r="AD43" s="193">
        <v>251</v>
      </c>
      <c r="AE43" s="193">
        <v>252</v>
      </c>
      <c r="AG43" s="102"/>
    </row>
    <row r="44" spans="2:33">
      <c r="B44" s="102"/>
      <c r="E44" s="109"/>
      <c r="F44" s="109"/>
      <c r="G44" s="168"/>
      <c r="H44" s="175"/>
      <c r="I44" s="176"/>
      <c r="J44" s="175"/>
      <c r="K44" s="168"/>
      <c r="L44" s="175"/>
      <c r="M44" s="168"/>
      <c r="N44" s="175"/>
      <c r="O44" s="168"/>
      <c r="P44" s="175"/>
      <c r="Q44" s="168"/>
      <c r="R44" s="175"/>
      <c r="S44" s="168"/>
      <c r="T44" s="175"/>
      <c r="U44" s="177"/>
      <c r="V44" s="174"/>
      <c r="W44" s="123"/>
      <c r="X44" s="193">
        <v>253</v>
      </c>
      <c r="Y44" s="193">
        <v>254</v>
      </c>
      <c r="Z44" s="193">
        <v>255</v>
      </c>
      <c r="AA44" s="193">
        <v>256</v>
      </c>
      <c r="AB44" s="193">
        <v>257</v>
      </c>
      <c r="AC44" s="193">
        <v>258</v>
      </c>
      <c r="AD44" s="193">
        <v>259</v>
      </c>
      <c r="AE44" s="193">
        <v>260</v>
      </c>
      <c r="AG44" s="102"/>
    </row>
    <row r="45" spans="2:33">
      <c r="B45" s="173"/>
      <c r="D45" s="123"/>
      <c r="E45" s="123"/>
      <c r="V45" s="174"/>
      <c r="W45" s="123"/>
      <c r="AG45" s="173"/>
    </row>
    <row r="46" spans="2:33" ht="7.5" customHeight="1">
      <c r="B46" s="94">
        <v>44227</v>
      </c>
      <c r="C46" s="92"/>
      <c r="D46" s="92"/>
      <c r="E46" s="92"/>
      <c r="F46" s="92"/>
      <c r="G46" s="92"/>
      <c r="H46" s="178"/>
      <c r="I46" s="92"/>
      <c r="J46" s="92"/>
      <c r="K46" s="92"/>
      <c r="L46" s="92"/>
      <c r="M46" s="92"/>
      <c r="N46" s="92"/>
      <c r="O46" s="92"/>
      <c r="P46" s="92"/>
      <c r="Q46" s="92"/>
      <c r="R46" s="92"/>
      <c r="S46" s="92"/>
      <c r="T46" s="92"/>
      <c r="U46" s="92"/>
      <c r="V46" s="92"/>
      <c r="W46" s="92"/>
      <c r="X46" s="92"/>
      <c r="Y46" s="92"/>
      <c r="Z46" s="92"/>
      <c r="AA46" s="92"/>
      <c r="AB46" s="92"/>
      <c r="AC46" s="92"/>
      <c r="AD46" s="92"/>
      <c r="AE46" s="92"/>
      <c r="AF46" s="92"/>
      <c r="AG46" s="94"/>
    </row>
    <row r="47" spans="2:33">
      <c r="D47" s="179"/>
      <c r="E47" s="179"/>
    </row>
    <row r="48" spans="2:33">
      <c r="D48" s="179"/>
      <c r="E48" s="179"/>
    </row>
    <row r="49" spans="4:5">
      <c r="D49" s="179"/>
      <c r="E49" s="179"/>
    </row>
    <row r="50" spans="4:5">
      <c r="D50" s="123"/>
      <c r="E50" s="123"/>
    </row>
    <row r="51" spans="4:5">
      <c r="D51" s="127"/>
      <c r="E51" s="123"/>
    </row>
    <row r="52" spans="4:5" hidden="1">
      <c r="D52" s="123"/>
      <c r="E52" s="123"/>
    </row>
    <row r="53" spans="4:5" hidden="1">
      <c r="D53" s="123"/>
      <c r="E53" s="123"/>
    </row>
    <row r="54" spans="4:5" hidden="1">
      <c r="D54" s="123"/>
      <c r="E54" s="123"/>
    </row>
    <row r="1048576" s="90" customFormat="1" ht="10.5" hidden="1" customHeight="1"/>
  </sheetData>
  <mergeCells count="38">
    <mergeCell ref="AC3:AF3"/>
    <mergeCell ref="Z22:AA22"/>
    <mergeCell ref="M3:V4"/>
    <mergeCell ref="E8:F8"/>
    <mergeCell ref="J8:K8"/>
    <mergeCell ref="O8:P8"/>
    <mergeCell ref="Q8:R8"/>
    <mergeCell ref="V8:X8"/>
    <mergeCell ref="Y12:AB12"/>
    <mergeCell ref="Y8:AB8"/>
    <mergeCell ref="E10:F10"/>
    <mergeCell ref="J10:K10"/>
    <mergeCell ref="O10:P10"/>
    <mergeCell ref="Q10:R10"/>
    <mergeCell ref="V10:X10"/>
    <mergeCell ref="Y10:AB10"/>
    <mergeCell ref="E16:F16"/>
    <mergeCell ref="E12:F12"/>
    <mergeCell ref="J12:K12"/>
    <mergeCell ref="O12:P12"/>
    <mergeCell ref="Q12:R12"/>
    <mergeCell ref="V12:X12"/>
    <mergeCell ref="D47:E47"/>
    <mergeCell ref="D48:E48"/>
    <mergeCell ref="D49:E49"/>
    <mergeCell ref="AD14:AF14"/>
    <mergeCell ref="J16:K16"/>
    <mergeCell ref="O16:P16"/>
    <mergeCell ref="Q16:R16"/>
    <mergeCell ref="V16:X16"/>
    <mergeCell ref="Y16:AB16"/>
    <mergeCell ref="E14:F14"/>
    <mergeCell ref="J14:K14"/>
    <mergeCell ref="O14:P14"/>
    <mergeCell ref="Q14:R14"/>
    <mergeCell ref="V14:X14"/>
    <mergeCell ref="Y14:AB14"/>
    <mergeCell ref="Z20:AA20"/>
  </mergeCells>
  <phoneticPr fontId="7" type="noConversion"/>
  <dataValidations count="10">
    <dataValidation type="list" allowBlank="1" showInputMessage="1" showErrorMessage="1" sqref="Y16:AB16" xr:uid="{609802CF-B894-4E8B-85FC-13C3F1FD4E2A}">
      <formula1>"Pan Card, Aadhar Card, Driving License, Defense ID card"</formula1>
    </dataValidation>
    <dataValidation allowBlank="1" showInputMessage="1" showErrorMessage="1" prompt="Home Pincode" sqref="Y12:AB12" xr:uid="{46FF381A-4834-4A8E-9674-17788382654E}"/>
    <dataValidation allowBlank="1" showInputMessage="1" showErrorMessage="1" prompt="Customer Permanent Address" sqref="Y10:AB10" xr:uid="{F0394654-BF69-4AF8-BDE0-7A5F07007AB1}"/>
    <dataValidation allowBlank="1" showInputMessage="1" showErrorMessage="1" prompt="Customer Email id" sqref="Y8:AB8" xr:uid="{B99EDED6-077F-484B-92A4-CDE4B77A044E}"/>
    <dataValidation allowBlank="1" showInputMessage="1" showErrorMessage="1" prompt="Date of Leaving" sqref="J14:K14" xr:uid="{22858BD3-3273-474D-9EEC-2092DE6E14DD}"/>
    <dataValidation allowBlank="1" showInputMessage="1" showErrorMessage="1" prompt="Date of Arrival " sqref="J10:K10" xr:uid="{FF0781A3-977C-4350-966B-243BB2A41F14}"/>
    <dataValidation allowBlank="1" showInputMessage="1" showErrorMessage="1" prompt="Customer Name" sqref="J8:K8" xr:uid="{6CF3C8AE-1726-4E9F-AAE3-87F7C4AEBB8E}"/>
    <dataValidation type="list" allowBlank="1" showInputMessage="1" showErrorMessage="1" sqref="J16:K16" xr:uid="{43F020DB-EC61-4129-BBA0-278134E978CA}">
      <formula1>"Unconfirmed, Confirmed, Cancelled, Paid"</formula1>
    </dataValidation>
    <dataValidation type="list" allowBlank="1" showInputMessage="1" showErrorMessage="1" sqref="J12:K12" xr:uid="{219A5BD2-5DAF-4517-8F97-B64224501D4A}">
      <formula1>"AC, Non-AC"</formula1>
    </dataValidation>
    <dataValidation type="list" allowBlank="1" showInputMessage="1" showErrorMessage="1" sqref="Z22:AA22" xr:uid="{213F3300-2C48-4F6F-BD99-23BC59A9AA52}">
      <formula1>"Unconfirmed, Confirmed, Cancelled, Paid,Checked Out"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CEBE8-8F30-4ED6-91F9-AC22EA036C4E}">
  <sheetPr codeName="Sheet2"/>
  <dimension ref="A1:P27"/>
  <sheetViews>
    <sheetView workbookViewId="0"/>
  </sheetViews>
  <sheetFormatPr defaultColWidth="18.5703125" defaultRowHeight="15"/>
  <cols>
    <col min="1" max="1" width="18.5703125" style="72"/>
    <col min="2" max="2" width="15.85546875" style="72" customWidth="1"/>
    <col min="3" max="3" width="14.42578125" style="72" customWidth="1"/>
    <col min="4" max="4" width="15.85546875" style="72" customWidth="1"/>
    <col min="5" max="5" width="15.28515625" style="72" customWidth="1"/>
    <col min="6" max="6" width="11.140625" style="72" customWidth="1"/>
    <col min="7" max="7" width="7.85546875" style="72" customWidth="1"/>
    <col min="8" max="8" width="13" style="72" customWidth="1"/>
    <col min="9" max="10" width="11.140625" style="72" customWidth="1"/>
    <col min="11" max="11" width="18.5703125" style="72"/>
    <col min="12" max="12" width="23.140625" style="72" customWidth="1"/>
    <col min="13" max="13" width="14.42578125" style="72" customWidth="1"/>
    <col min="14" max="15" width="18.5703125" style="72"/>
    <col min="16" max="16" width="30.140625" style="72" customWidth="1"/>
    <col min="17" max="16384" width="18.5703125" style="72"/>
  </cols>
  <sheetData>
    <row r="1" spans="1:16" s="69" customFormat="1">
      <c r="A1" s="69" t="s">
        <v>25</v>
      </c>
      <c r="B1" s="69" t="s">
        <v>26</v>
      </c>
      <c r="C1" s="69" t="s">
        <v>58</v>
      </c>
      <c r="D1" s="69" t="s">
        <v>28</v>
      </c>
      <c r="E1" s="69" t="s">
        <v>29</v>
      </c>
      <c r="F1" s="69" t="s">
        <v>30</v>
      </c>
      <c r="G1" s="69" t="s">
        <v>27</v>
      </c>
      <c r="H1" s="69" t="s">
        <v>63</v>
      </c>
      <c r="I1" s="69" t="s">
        <v>31</v>
      </c>
      <c r="J1" s="69" t="s">
        <v>92</v>
      </c>
      <c r="K1" s="69" t="s">
        <v>33</v>
      </c>
      <c r="L1" s="69" t="s">
        <v>34</v>
      </c>
      <c r="M1" s="69" t="s">
        <v>35</v>
      </c>
      <c r="N1" s="69" t="s">
        <v>36</v>
      </c>
      <c r="O1" s="69" t="s">
        <v>37</v>
      </c>
      <c r="P1" s="69" t="s">
        <v>61</v>
      </c>
    </row>
    <row r="2" spans="1:16" s="69" customFormat="1">
      <c r="A2" s="69" t="s">
        <v>0</v>
      </c>
      <c r="B2" s="70">
        <v>44318</v>
      </c>
      <c r="C2" s="69" t="s">
        <v>76</v>
      </c>
      <c r="D2" s="70">
        <v>44322</v>
      </c>
      <c r="E2" s="69" t="s">
        <v>11</v>
      </c>
      <c r="F2" s="69">
        <v>101</v>
      </c>
      <c r="G2" s="72">
        <v>4</v>
      </c>
      <c r="H2" s="72">
        <v>400</v>
      </c>
      <c r="I2" s="72">
        <v>100</v>
      </c>
      <c r="J2" s="72">
        <v>300</v>
      </c>
      <c r="K2" s="69" t="s">
        <v>55</v>
      </c>
      <c r="L2" s="69" t="s">
        <v>56</v>
      </c>
      <c r="M2" s="69">
        <v>14001</v>
      </c>
      <c r="N2" s="69">
        <v>892345671</v>
      </c>
      <c r="O2" s="69" t="s">
        <v>57</v>
      </c>
      <c r="P2" s="71">
        <v>44478.931342592594</v>
      </c>
    </row>
    <row r="3" spans="1:16">
      <c r="A3" s="72" t="s">
        <v>68</v>
      </c>
      <c r="B3" s="70">
        <v>44320</v>
      </c>
      <c r="C3" s="69" t="s">
        <v>67</v>
      </c>
      <c r="D3" s="70">
        <v>44323</v>
      </c>
      <c r="E3" s="69" t="s">
        <v>12</v>
      </c>
      <c r="F3" s="72">
        <v>102</v>
      </c>
      <c r="G3" s="72">
        <v>3</v>
      </c>
      <c r="H3" s="72">
        <v>300</v>
      </c>
      <c r="I3" s="72">
        <v>100</v>
      </c>
      <c r="J3" s="72">
        <v>200</v>
      </c>
      <c r="K3" s="73" t="s">
        <v>77</v>
      </c>
      <c r="L3" s="69" t="s">
        <v>56</v>
      </c>
      <c r="M3" s="69">
        <v>14001</v>
      </c>
      <c r="N3" s="69">
        <v>892345671</v>
      </c>
      <c r="O3" s="69" t="s">
        <v>57</v>
      </c>
      <c r="P3" s="71">
        <v>44479.931342592594</v>
      </c>
    </row>
    <row r="4" spans="1:16">
      <c r="A4" s="72" t="s">
        <v>69</v>
      </c>
      <c r="B4" s="70">
        <v>44320</v>
      </c>
      <c r="C4" s="69" t="s">
        <v>67</v>
      </c>
      <c r="D4" s="70">
        <v>44324</v>
      </c>
      <c r="E4" s="69" t="s">
        <v>14</v>
      </c>
      <c r="F4" s="69">
        <v>103</v>
      </c>
      <c r="G4" s="72">
        <v>4</v>
      </c>
      <c r="H4" s="72">
        <v>400</v>
      </c>
      <c r="I4" s="72">
        <v>100</v>
      </c>
      <c r="J4" s="72">
        <v>300</v>
      </c>
      <c r="K4" s="73" t="s">
        <v>77</v>
      </c>
      <c r="L4" s="69" t="s">
        <v>56</v>
      </c>
      <c r="M4" s="69">
        <v>14001</v>
      </c>
      <c r="N4" s="69">
        <v>892345671</v>
      </c>
      <c r="O4" s="69" t="s">
        <v>57</v>
      </c>
      <c r="P4" s="71">
        <v>44480.931342592594</v>
      </c>
    </row>
    <row r="5" spans="1:16">
      <c r="A5" s="72" t="s">
        <v>70</v>
      </c>
      <c r="B5" s="70">
        <v>44321</v>
      </c>
      <c r="C5" s="69" t="s">
        <v>76</v>
      </c>
      <c r="D5" s="70">
        <v>44325</v>
      </c>
      <c r="E5" s="69" t="s">
        <v>12</v>
      </c>
      <c r="F5" s="72">
        <v>104</v>
      </c>
      <c r="G5" s="72">
        <v>4</v>
      </c>
      <c r="H5" s="72">
        <v>400</v>
      </c>
      <c r="I5" s="72">
        <v>100</v>
      </c>
      <c r="J5" s="72">
        <v>300</v>
      </c>
      <c r="K5" s="73" t="s">
        <v>77</v>
      </c>
      <c r="L5" s="69" t="s">
        <v>56</v>
      </c>
      <c r="M5" s="69">
        <v>14001</v>
      </c>
      <c r="N5" s="69">
        <v>892345671</v>
      </c>
      <c r="O5" s="69" t="s">
        <v>57</v>
      </c>
      <c r="P5" s="71">
        <v>44481.931342592594</v>
      </c>
    </row>
    <row r="6" spans="1:16">
      <c r="A6" s="72" t="s">
        <v>71</v>
      </c>
      <c r="B6" s="70">
        <v>44324</v>
      </c>
      <c r="C6" s="69" t="s">
        <v>67</v>
      </c>
      <c r="D6" s="70">
        <v>44326</v>
      </c>
      <c r="E6" s="69" t="s">
        <v>13</v>
      </c>
      <c r="F6" s="69">
        <v>105</v>
      </c>
      <c r="G6" s="72">
        <v>2</v>
      </c>
      <c r="H6" s="72">
        <v>200</v>
      </c>
      <c r="I6" s="72">
        <v>100</v>
      </c>
      <c r="J6" s="72">
        <v>100</v>
      </c>
      <c r="K6" s="73" t="s">
        <v>77</v>
      </c>
      <c r="L6" s="69" t="s">
        <v>56</v>
      </c>
      <c r="M6" s="69">
        <v>14001</v>
      </c>
      <c r="N6" s="69">
        <v>892345671</v>
      </c>
      <c r="O6" s="69" t="s">
        <v>57</v>
      </c>
      <c r="P6" s="71">
        <v>44482.931342592594</v>
      </c>
    </row>
    <row r="7" spans="1:16">
      <c r="A7" s="72" t="s">
        <v>72</v>
      </c>
      <c r="B7" s="70">
        <v>44323</v>
      </c>
      <c r="C7" s="69" t="s">
        <v>67</v>
      </c>
      <c r="D7" s="70">
        <v>44327</v>
      </c>
      <c r="E7" s="69" t="s">
        <v>12</v>
      </c>
      <c r="F7" s="72">
        <v>106</v>
      </c>
      <c r="G7" s="72">
        <v>4</v>
      </c>
      <c r="H7" s="72">
        <v>400</v>
      </c>
      <c r="I7" s="72">
        <v>100</v>
      </c>
      <c r="J7" s="72">
        <v>300</v>
      </c>
      <c r="K7" s="73" t="s">
        <v>77</v>
      </c>
      <c r="L7" s="69" t="s">
        <v>56</v>
      </c>
      <c r="M7" s="69">
        <v>14001</v>
      </c>
      <c r="N7" s="69">
        <v>892345671</v>
      </c>
      <c r="O7" s="69" t="s">
        <v>57</v>
      </c>
      <c r="P7" s="71">
        <v>44483.931342592594</v>
      </c>
    </row>
    <row r="8" spans="1:16">
      <c r="A8" s="72" t="s">
        <v>73</v>
      </c>
      <c r="B8" s="70">
        <v>44326</v>
      </c>
      <c r="C8" s="69" t="s">
        <v>76</v>
      </c>
      <c r="D8" s="70">
        <v>44328</v>
      </c>
      <c r="E8" s="69" t="s">
        <v>14</v>
      </c>
      <c r="F8" s="69">
        <v>107</v>
      </c>
      <c r="G8" s="72">
        <v>2</v>
      </c>
      <c r="H8" s="72">
        <v>200</v>
      </c>
      <c r="I8" s="72">
        <v>100</v>
      </c>
      <c r="J8" s="72">
        <v>100</v>
      </c>
      <c r="K8" s="73" t="s">
        <v>77</v>
      </c>
      <c r="L8" s="69" t="s">
        <v>56</v>
      </c>
      <c r="M8" s="69">
        <v>14001</v>
      </c>
      <c r="N8" s="69">
        <v>892345671</v>
      </c>
      <c r="O8" s="69" t="s">
        <v>57</v>
      </c>
      <c r="P8" s="71">
        <v>44484.931342592594</v>
      </c>
    </row>
    <row r="9" spans="1:16">
      <c r="A9" s="72" t="s">
        <v>74</v>
      </c>
      <c r="B9" s="70">
        <v>44325</v>
      </c>
      <c r="C9" s="69" t="s">
        <v>67</v>
      </c>
      <c r="D9" s="70">
        <v>44329</v>
      </c>
      <c r="E9" s="69" t="s">
        <v>12</v>
      </c>
      <c r="F9" s="72">
        <v>108</v>
      </c>
      <c r="G9" s="72">
        <v>4</v>
      </c>
      <c r="H9" s="72">
        <v>400</v>
      </c>
      <c r="I9" s="72">
        <v>100</v>
      </c>
      <c r="J9" s="72">
        <v>300</v>
      </c>
      <c r="K9" s="73" t="s">
        <v>77</v>
      </c>
      <c r="L9" s="69" t="s">
        <v>56</v>
      </c>
      <c r="M9" s="69">
        <v>14001</v>
      </c>
      <c r="N9" s="69">
        <v>892345671</v>
      </c>
      <c r="O9" s="69" t="s">
        <v>57</v>
      </c>
      <c r="P9" s="71">
        <v>44485.931342592594</v>
      </c>
    </row>
    <row r="10" spans="1:16">
      <c r="A10" s="72" t="s">
        <v>75</v>
      </c>
      <c r="B10" s="70">
        <v>44317</v>
      </c>
      <c r="C10" s="69" t="s">
        <v>76</v>
      </c>
      <c r="D10" s="70">
        <v>44330</v>
      </c>
      <c r="E10" s="69" t="s">
        <v>12</v>
      </c>
      <c r="F10" s="69">
        <v>109</v>
      </c>
      <c r="G10" s="72">
        <v>13</v>
      </c>
      <c r="H10" s="72">
        <v>1300</v>
      </c>
      <c r="I10" s="72">
        <v>100</v>
      </c>
      <c r="J10" s="72">
        <v>1200</v>
      </c>
      <c r="K10" s="73" t="s">
        <v>77</v>
      </c>
      <c r="L10" s="69" t="s">
        <v>56</v>
      </c>
      <c r="M10" s="69">
        <v>14001</v>
      </c>
      <c r="N10" s="69">
        <v>892345671</v>
      </c>
      <c r="O10" s="69" t="s">
        <v>57</v>
      </c>
      <c r="P10" s="71">
        <v>44486.931342592594</v>
      </c>
    </row>
    <row r="11" spans="1:16">
      <c r="A11" s="72" t="s">
        <v>78</v>
      </c>
      <c r="B11" s="70">
        <v>44327</v>
      </c>
      <c r="C11" s="69" t="s">
        <v>76</v>
      </c>
      <c r="D11" s="70">
        <v>44331</v>
      </c>
      <c r="E11" s="69" t="s">
        <v>14</v>
      </c>
      <c r="F11" s="72">
        <v>110</v>
      </c>
      <c r="G11" s="72">
        <v>4</v>
      </c>
      <c r="H11" s="72">
        <v>400</v>
      </c>
      <c r="I11" s="72">
        <v>100</v>
      </c>
      <c r="J11" s="72">
        <v>300</v>
      </c>
      <c r="K11" s="73" t="s">
        <v>77</v>
      </c>
      <c r="L11" s="69" t="s">
        <v>56</v>
      </c>
      <c r="M11" s="69">
        <v>14001</v>
      </c>
      <c r="N11" s="69">
        <v>892345671</v>
      </c>
      <c r="O11" s="69" t="s">
        <v>57</v>
      </c>
      <c r="P11" s="71">
        <v>44487.931342592594</v>
      </c>
    </row>
    <row r="12" spans="1:16">
      <c r="A12" s="72" t="s">
        <v>79</v>
      </c>
      <c r="B12" s="70">
        <v>44328</v>
      </c>
      <c r="C12" s="69" t="s">
        <v>67</v>
      </c>
      <c r="D12" s="70">
        <v>44332</v>
      </c>
      <c r="E12" s="69" t="s">
        <v>14</v>
      </c>
      <c r="F12" s="69">
        <v>111</v>
      </c>
      <c r="G12" s="72">
        <v>4</v>
      </c>
      <c r="H12" s="72">
        <v>400</v>
      </c>
      <c r="I12" s="72">
        <v>100</v>
      </c>
      <c r="J12" s="72">
        <v>300</v>
      </c>
      <c r="K12" s="73" t="s">
        <v>77</v>
      </c>
      <c r="L12" s="69" t="s">
        <v>56</v>
      </c>
      <c r="M12" s="69">
        <v>14001</v>
      </c>
      <c r="N12" s="69">
        <v>892345671</v>
      </c>
      <c r="O12" s="69" t="s">
        <v>57</v>
      </c>
      <c r="P12" s="71">
        <v>44488.931342592594</v>
      </c>
    </row>
    <row r="13" spans="1:16">
      <c r="A13" s="72" t="s">
        <v>80</v>
      </c>
      <c r="B13" s="70">
        <v>44329</v>
      </c>
      <c r="C13" s="69" t="s">
        <v>67</v>
      </c>
      <c r="D13" s="70">
        <v>44333</v>
      </c>
      <c r="E13" s="69" t="s">
        <v>12</v>
      </c>
      <c r="F13" s="72">
        <v>112</v>
      </c>
      <c r="G13" s="72">
        <v>4</v>
      </c>
      <c r="H13" s="72">
        <v>400</v>
      </c>
      <c r="I13" s="72">
        <v>100</v>
      </c>
      <c r="J13" s="72">
        <v>300</v>
      </c>
      <c r="K13" s="73" t="s">
        <v>77</v>
      </c>
      <c r="L13" s="69" t="s">
        <v>56</v>
      </c>
      <c r="M13" s="69">
        <v>14001</v>
      </c>
      <c r="N13" s="69">
        <v>892345671</v>
      </c>
      <c r="O13" s="69" t="s">
        <v>57</v>
      </c>
      <c r="P13" s="71">
        <v>44489.931342592594</v>
      </c>
    </row>
    <row r="14" spans="1:16">
      <c r="A14" s="72" t="s">
        <v>81</v>
      </c>
      <c r="B14" s="70">
        <v>44330</v>
      </c>
      <c r="C14" s="69" t="s">
        <v>76</v>
      </c>
      <c r="D14" s="70">
        <v>44334</v>
      </c>
      <c r="E14" s="69" t="s">
        <v>12</v>
      </c>
      <c r="F14" s="69">
        <v>113</v>
      </c>
      <c r="G14" s="72">
        <v>4</v>
      </c>
      <c r="H14" s="72">
        <v>400</v>
      </c>
      <c r="I14" s="72">
        <v>100</v>
      </c>
      <c r="J14" s="72">
        <v>300</v>
      </c>
      <c r="K14" s="73" t="s">
        <v>77</v>
      </c>
      <c r="L14" s="69" t="s">
        <v>56</v>
      </c>
      <c r="M14" s="69">
        <v>14001</v>
      </c>
      <c r="N14" s="69">
        <v>892345671</v>
      </c>
      <c r="O14" s="69" t="s">
        <v>57</v>
      </c>
      <c r="P14" s="71">
        <v>44490.931342592594</v>
      </c>
    </row>
    <row r="15" spans="1:16">
      <c r="A15" s="72" t="s">
        <v>90</v>
      </c>
      <c r="B15" s="70">
        <v>44321</v>
      </c>
      <c r="C15" s="69" t="s">
        <v>67</v>
      </c>
      <c r="D15" s="70">
        <v>44335</v>
      </c>
      <c r="E15" s="69" t="s">
        <v>14</v>
      </c>
      <c r="F15" s="72">
        <v>114</v>
      </c>
      <c r="G15" s="72">
        <v>14</v>
      </c>
      <c r="H15" s="72">
        <v>1400</v>
      </c>
      <c r="I15" s="72">
        <v>100</v>
      </c>
      <c r="J15" s="72">
        <v>1300</v>
      </c>
      <c r="K15" s="73" t="s">
        <v>77</v>
      </c>
      <c r="L15" s="69" t="s">
        <v>56</v>
      </c>
      <c r="M15" s="69">
        <v>14001</v>
      </c>
      <c r="N15" s="69">
        <v>892345671</v>
      </c>
      <c r="O15" s="69" t="s">
        <v>57</v>
      </c>
      <c r="P15" s="71">
        <v>44491.931342592594</v>
      </c>
    </row>
    <row r="16" spans="1:16">
      <c r="A16" s="72" t="s">
        <v>89</v>
      </c>
      <c r="B16" s="70">
        <v>44332</v>
      </c>
      <c r="C16" s="69" t="s">
        <v>67</v>
      </c>
      <c r="D16" s="70">
        <v>44336</v>
      </c>
      <c r="E16" s="69" t="s">
        <v>14</v>
      </c>
      <c r="F16" s="69">
        <v>115</v>
      </c>
      <c r="G16" s="72">
        <v>4</v>
      </c>
      <c r="H16" s="72">
        <v>400</v>
      </c>
      <c r="I16" s="72">
        <v>100</v>
      </c>
      <c r="J16" s="72">
        <v>300</v>
      </c>
      <c r="K16" s="73" t="s">
        <v>77</v>
      </c>
      <c r="L16" s="69" t="s">
        <v>56</v>
      </c>
      <c r="M16" s="69">
        <v>14001</v>
      </c>
      <c r="N16" s="69">
        <v>892345671</v>
      </c>
      <c r="O16" s="69" t="s">
        <v>57</v>
      </c>
      <c r="P16" s="71">
        <v>44492.931342592594</v>
      </c>
    </row>
    <row r="17" spans="1:16">
      <c r="A17" s="72" t="s">
        <v>88</v>
      </c>
      <c r="B17" s="70">
        <v>44333</v>
      </c>
      <c r="C17" s="69" t="s">
        <v>76</v>
      </c>
      <c r="D17" s="70">
        <v>44337</v>
      </c>
      <c r="E17" s="69" t="s">
        <v>12</v>
      </c>
      <c r="F17" s="72">
        <v>116</v>
      </c>
      <c r="G17" s="72">
        <v>4</v>
      </c>
      <c r="H17" s="72">
        <v>400</v>
      </c>
      <c r="I17" s="72">
        <v>100</v>
      </c>
      <c r="J17" s="72">
        <v>300</v>
      </c>
      <c r="K17" s="73" t="s">
        <v>77</v>
      </c>
      <c r="L17" s="69" t="s">
        <v>56</v>
      </c>
      <c r="M17" s="69">
        <v>14001</v>
      </c>
      <c r="N17" s="69">
        <v>892345671</v>
      </c>
      <c r="O17" s="69" t="s">
        <v>57</v>
      </c>
      <c r="P17" s="71">
        <v>44493.931342592594</v>
      </c>
    </row>
    <row r="18" spans="1:16">
      <c r="A18" s="72" t="s">
        <v>82</v>
      </c>
      <c r="B18" s="70">
        <v>44331</v>
      </c>
      <c r="C18" s="69" t="s">
        <v>67</v>
      </c>
      <c r="D18" s="70">
        <v>44338</v>
      </c>
      <c r="E18" s="69" t="s">
        <v>13</v>
      </c>
      <c r="F18" s="69">
        <v>117</v>
      </c>
      <c r="G18" s="72">
        <v>7</v>
      </c>
      <c r="H18" s="72">
        <v>700</v>
      </c>
      <c r="I18" s="72">
        <v>100</v>
      </c>
      <c r="J18" s="72">
        <v>600</v>
      </c>
      <c r="K18" s="73" t="s">
        <v>77</v>
      </c>
      <c r="L18" s="69" t="s">
        <v>56</v>
      </c>
      <c r="M18" s="69">
        <v>14001</v>
      </c>
      <c r="N18" s="69">
        <v>892345671</v>
      </c>
      <c r="O18" s="69" t="s">
        <v>57</v>
      </c>
      <c r="P18" s="71">
        <v>44494.931342592594</v>
      </c>
    </row>
    <row r="19" spans="1:16">
      <c r="A19" s="72" t="s">
        <v>83</v>
      </c>
      <c r="B19" s="70">
        <v>44335</v>
      </c>
      <c r="C19" s="69" t="s">
        <v>76</v>
      </c>
      <c r="D19" s="70">
        <v>44339</v>
      </c>
      <c r="E19" s="69" t="s">
        <v>12</v>
      </c>
      <c r="F19" s="72">
        <v>118</v>
      </c>
      <c r="G19" s="72">
        <v>4</v>
      </c>
      <c r="H19" s="72">
        <v>400</v>
      </c>
      <c r="I19" s="72">
        <v>100</v>
      </c>
      <c r="J19" s="72">
        <v>300</v>
      </c>
      <c r="K19" s="73" t="s">
        <v>77</v>
      </c>
      <c r="L19" s="69" t="s">
        <v>56</v>
      </c>
      <c r="M19" s="69">
        <v>14001</v>
      </c>
      <c r="N19" s="69">
        <v>892345671</v>
      </c>
      <c r="O19" s="69" t="s">
        <v>57</v>
      </c>
      <c r="P19" s="71">
        <v>44495.931342592594</v>
      </c>
    </row>
    <row r="20" spans="1:16">
      <c r="A20" s="72" t="s">
        <v>84</v>
      </c>
      <c r="B20" s="70">
        <v>44336</v>
      </c>
      <c r="C20" s="69" t="s">
        <v>76</v>
      </c>
      <c r="D20" s="70">
        <v>44340</v>
      </c>
      <c r="E20" s="69" t="s">
        <v>14</v>
      </c>
      <c r="F20" s="69">
        <v>119</v>
      </c>
      <c r="G20" s="72">
        <v>4</v>
      </c>
      <c r="H20" s="72">
        <v>400</v>
      </c>
      <c r="I20" s="72">
        <v>100</v>
      </c>
      <c r="J20" s="72">
        <v>300</v>
      </c>
      <c r="K20" s="73" t="s">
        <v>77</v>
      </c>
      <c r="L20" s="69" t="s">
        <v>56</v>
      </c>
      <c r="M20" s="69">
        <v>14001</v>
      </c>
      <c r="N20" s="69">
        <v>892345671</v>
      </c>
      <c r="O20" s="69" t="s">
        <v>57</v>
      </c>
      <c r="P20" s="71">
        <v>44496.931342592594</v>
      </c>
    </row>
    <row r="21" spans="1:16">
      <c r="A21" s="72" t="s">
        <v>85</v>
      </c>
      <c r="B21" s="70">
        <v>44337</v>
      </c>
      <c r="C21" s="69" t="s">
        <v>67</v>
      </c>
      <c r="D21" s="70">
        <v>44341</v>
      </c>
      <c r="E21" s="69" t="s">
        <v>12</v>
      </c>
      <c r="F21" s="72">
        <v>120</v>
      </c>
      <c r="G21" s="72">
        <v>4</v>
      </c>
      <c r="H21" s="72">
        <v>400</v>
      </c>
      <c r="I21" s="72">
        <v>100</v>
      </c>
      <c r="J21" s="72">
        <v>300</v>
      </c>
      <c r="K21" s="73" t="s">
        <v>77</v>
      </c>
      <c r="L21" s="69" t="s">
        <v>56</v>
      </c>
      <c r="M21" s="69">
        <v>14001</v>
      </c>
      <c r="N21" s="69">
        <v>892345671</v>
      </c>
      <c r="O21" s="69" t="s">
        <v>57</v>
      </c>
      <c r="P21" s="71">
        <v>44497.931342592594</v>
      </c>
    </row>
    <row r="22" spans="1:16">
      <c r="A22" s="72" t="s">
        <v>86</v>
      </c>
      <c r="B22" s="70">
        <v>44331</v>
      </c>
      <c r="C22" s="69" t="s">
        <v>67</v>
      </c>
      <c r="D22" s="70">
        <v>44342</v>
      </c>
      <c r="E22" s="69" t="s">
        <v>11</v>
      </c>
      <c r="F22" s="69">
        <v>121</v>
      </c>
      <c r="G22" s="72">
        <v>11</v>
      </c>
      <c r="H22" s="72">
        <v>1100</v>
      </c>
      <c r="I22" s="72">
        <v>100</v>
      </c>
      <c r="J22" s="72">
        <v>1000</v>
      </c>
      <c r="K22" s="73" t="s">
        <v>77</v>
      </c>
      <c r="L22" s="69" t="s">
        <v>56</v>
      </c>
      <c r="M22" s="69">
        <v>14001</v>
      </c>
      <c r="N22" s="69">
        <v>892345671</v>
      </c>
      <c r="O22" s="69" t="s">
        <v>57</v>
      </c>
      <c r="P22" s="71">
        <v>44498.931342592594</v>
      </c>
    </row>
    <row r="23" spans="1:16">
      <c r="A23" s="72" t="s">
        <v>87</v>
      </c>
      <c r="B23" s="70">
        <v>44339</v>
      </c>
      <c r="C23" s="69" t="s">
        <v>76</v>
      </c>
      <c r="D23" s="70">
        <v>44343</v>
      </c>
      <c r="E23" s="69" t="s">
        <v>13</v>
      </c>
      <c r="F23" s="72">
        <v>122</v>
      </c>
      <c r="G23" s="72">
        <v>4</v>
      </c>
      <c r="H23" s="72">
        <v>400</v>
      </c>
      <c r="I23" s="72">
        <v>100</v>
      </c>
      <c r="J23" s="72">
        <v>300</v>
      </c>
      <c r="K23" s="73" t="s">
        <v>77</v>
      </c>
      <c r="L23" s="69" t="s">
        <v>56</v>
      </c>
      <c r="M23" s="69">
        <v>14001</v>
      </c>
      <c r="N23" s="69">
        <v>892345671</v>
      </c>
      <c r="O23" s="69" t="s">
        <v>57</v>
      </c>
      <c r="P23" s="71">
        <v>44499.931342592594</v>
      </c>
    </row>
    <row r="24" spans="1:16">
      <c r="A24" s="72" t="s">
        <v>108</v>
      </c>
      <c r="B24" s="75">
        <v>44471</v>
      </c>
      <c r="C24" s="72" t="s">
        <v>67</v>
      </c>
      <c r="D24" s="75">
        <v>44473</v>
      </c>
      <c r="E24" s="72" t="s">
        <v>12</v>
      </c>
      <c r="F24" s="72">
        <v>250</v>
      </c>
      <c r="G24" s="72">
        <v>2</v>
      </c>
      <c r="H24" s="72">
        <v>200</v>
      </c>
      <c r="I24" s="72">
        <v>100</v>
      </c>
      <c r="J24" s="72">
        <v>100</v>
      </c>
      <c r="K24" s="72" t="s">
        <v>109</v>
      </c>
      <c r="L24" s="72" t="s">
        <v>110</v>
      </c>
      <c r="M24" s="72">
        <v>140011</v>
      </c>
      <c r="N24" s="72">
        <v>123</v>
      </c>
      <c r="O24" s="72" t="s">
        <v>111</v>
      </c>
      <c r="P24" s="74">
        <v>44479.06931712963</v>
      </c>
    </row>
    <row r="25" spans="1:16">
      <c r="A25" s="72" t="s">
        <v>112</v>
      </c>
      <c r="B25" s="75">
        <v>44471</v>
      </c>
      <c r="C25" s="72" t="s">
        <v>67</v>
      </c>
      <c r="D25" s="75">
        <v>44473</v>
      </c>
      <c r="E25" s="72" t="s">
        <v>12</v>
      </c>
      <c r="F25" s="72">
        <v>252</v>
      </c>
      <c r="G25" s="72">
        <v>2</v>
      </c>
      <c r="H25" s="72">
        <v>200</v>
      </c>
      <c r="I25" s="72">
        <v>100</v>
      </c>
      <c r="J25" s="72">
        <v>100</v>
      </c>
      <c r="K25" s="72" t="s">
        <v>109</v>
      </c>
      <c r="L25" s="72" t="s">
        <v>110</v>
      </c>
      <c r="M25" s="72">
        <v>140011</v>
      </c>
      <c r="N25" s="72">
        <v>123</v>
      </c>
      <c r="O25" s="72" t="s">
        <v>111</v>
      </c>
      <c r="P25" s="74">
        <v>44479.113020833334</v>
      </c>
    </row>
    <row r="26" spans="1:16">
      <c r="A26" s="72" t="s">
        <v>108</v>
      </c>
      <c r="B26" s="75">
        <v>44471</v>
      </c>
      <c r="C26" s="72" t="s">
        <v>67</v>
      </c>
      <c r="D26" s="75">
        <v>44473</v>
      </c>
      <c r="E26" s="72" t="s">
        <v>12</v>
      </c>
      <c r="F26" s="72">
        <v>250</v>
      </c>
      <c r="G26" s="72">
        <v>2</v>
      </c>
      <c r="H26" s="72">
        <v>200</v>
      </c>
      <c r="I26" s="72">
        <v>100</v>
      </c>
      <c r="J26" s="72">
        <v>100</v>
      </c>
      <c r="K26" s="72" t="s">
        <v>109</v>
      </c>
      <c r="L26" s="72" t="s">
        <v>110</v>
      </c>
      <c r="M26" s="72">
        <v>140011</v>
      </c>
      <c r="N26" s="72">
        <v>123</v>
      </c>
      <c r="O26" s="72" t="s">
        <v>111</v>
      </c>
      <c r="P26" s="74">
        <v>44479.122800925928</v>
      </c>
    </row>
    <row r="27" spans="1:16">
      <c r="A27" s="72" t="s">
        <v>108</v>
      </c>
      <c r="B27" s="75">
        <v>44471</v>
      </c>
      <c r="C27" s="72" t="s">
        <v>67</v>
      </c>
      <c r="D27" s="75">
        <v>44473</v>
      </c>
      <c r="E27" s="72" t="s">
        <v>12</v>
      </c>
      <c r="F27" s="72">
        <v>250</v>
      </c>
      <c r="G27" s="72">
        <v>2</v>
      </c>
      <c r="H27" s="72">
        <v>200</v>
      </c>
      <c r="I27" s="72">
        <v>100</v>
      </c>
      <c r="J27" s="72">
        <v>100</v>
      </c>
      <c r="K27" s="72" t="s">
        <v>109</v>
      </c>
      <c r="L27" s="72" t="s">
        <v>110</v>
      </c>
      <c r="M27" s="72">
        <v>140011</v>
      </c>
      <c r="N27" s="72">
        <v>123</v>
      </c>
      <c r="O27" s="72" t="s">
        <v>111</v>
      </c>
      <c r="P27" s="74">
        <v>44479.124942129631</v>
      </c>
    </row>
  </sheetData>
  <hyperlinks>
    <hyperlink ref="K3" r:id="rId1" xr:uid="{51DCC335-9D02-49D9-A6E4-9EA52E027875}"/>
    <hyperlink ref="K4:K23" r:id="rId2" display="test2@gmail.com" xr:uid="{0EA38761-B336-4D06-BDDE-F6C5A7E1A277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572AB8-A01C-42A7-96ED-999E0EAB482E}">
  <sheetPr codeName="Sheet3"/>
  <dimension ref="A1:J41"/>
  <sheetViews>
    <sheetView showGridLines="0" topLeftCell="A3" zoomScale="80" workbookViewId="0">
      <selection activeCell="A42" sqref="A42:XFD1048576"/>
    </sheetView>
  </sheetViews>
  <sheetFormatPr defaultColWidth="0" defaultRowHeight="15" zeroHeight="1"/>
  <cols>
    <col min="1" max="1" width="20.5703125" customWidth="1"/>
    <col min="2" max="2" width="1.42578125" customWidth="1"/>
    <col min="3" max="4" width="20.5703125" customWidth="1"/>
    <col min="5" max="5" width="11.28515625" customWidth="1"/>
    <col min="6" max="6" width="18.7109375" customWidth="1"/>
    <col min="7" max="7" width="25.42578125" customWidth="1"/>
    <col min="8" max="8" width="20.5703125" customWidth="1"/>
    <col min="9" max="9" width="1.28515625" customWidth="1"/>
    <col min="10" max="10" width="20.5703125" customWidth="1"/>
    <col min="11" max="16384" width="20.5703125" hidden="1"/>
  </cols>
  <sheetData>
    <row r="1" spans="1:10"/>
    <row r="2" spans="1:10" ht="27.75">
      <c r="B2" s="15"/>
      <c r="C2" s="16"/>
      <c r="D2" s="17"/>
      <c r="E2" s="17"/>
      <c r="F2" s="17"/>
      <c r="G2" s="17"/>
      <c r="H2" s="18"/>
      <c r="I2" s="19"/>
    </row>
    <row r="3" spans="1:10" ht="6" customHeight="1">
      <c r="A3" s="1"/>
      <c r="B3" s="15"/>
      <c r="C3" s="20"/>
      <c r="D3" s="21"/>
      <c r="E3" s="21"/>
      <c r="F3" s="21"/>
      <c r="G3" s="21"/>
      <c r="H3" s="22"/>
      <c r="I3" s="19"/>
      <c r="J3" s="1"/>
    </row>
    <row r="4" spans="1:10" ht="41.25" customHeight="1">
      <c r="B4" s="26"/>
      <c r="C4" s="86" t="s">
        <v>41</v>
      </c>
      <c r="D4" s="87"/>
      <c r="E4" s="63"/>
      <c r="F4" s="23"/>
      <c r="G4" s="24"/>
      <c r="H4" s="25"/>
      <c r="I4" s="29"/>
    </row>
    <row r="5" spans="1:10" ht="20.25">
      <c r="B5" s="27"/>
      <c r="C5" s="41" t="s">
        <v>53</v>
      </c>
      <c r="D5" s="7"/>
      <c r="E5" s="7"/>
      <c r="F5" s="8"/>
      <c r="G5" s="65" t="s">
        <v>15</v>
      </c>
      <c r="H5" s="60">
        <v>44471</v>
      </c>
      <c r="I5" s="30"/>
      <c r="J5" s="3"/>
    </row>
    <row r="6" spans="1:10" ht="20.25">
      <c r="B6" s="27"/>
      <c r="C6" s="41" t="s">
        <v>54</v>
      </c>
      <c r="D6" s="7"/>
      <c r="E6" s="7"/>
      <c r="F6" s="9"/>
      <c r="G6" s="58"/>
      <c r="H6" s="10"/>
      <c r="I6" s="31"/>
      <c r="J6" s="3"/>
    </row>
    <row r="7" spans="1:10" ht="20.25">
      <c r="B7" s="27"/>
      <c r="C7" s="41">
        <v>140001</v>
      </c>
      <c r="D7" s="7"/>
      <c r="E7" s="7"/>
      <c r="F7" s="8"/>
      <c r="G7" s="58" t="s">
        <v>60</v>
      </c>
      <c r="H7" s="59">
        <v>250</v>
      </c>
      <c r="I7" s="30"/>
      <c r="J7" s="3"/>
    </row>
    <row r="8" spans="1:10" ht="20.25">
      <c r="B8" s="27"/>
      <c r="C8" s="41" t="s">
        <v>52</v>
      </c>
      <c r="D8" s="7"/>
      <c r="E8" s="7"/>
      <c r="F8" s="11"/>
      <c r="G8" s="57"/>
      <c r="H8" s="11"/>
      <c r="I8" s="30"/>
      <c r="J8" s="3"/>
    </row>
    <row r="9" spans="1:10" ht="20.25">
      <c r="B9" s="27"/>
      <c r="C9" s="40" t="s">
        <v>51</v>
      </c>
      <c r="D9" s="7"/>
      <c r="E9" s="7"/>
      <c r="F9" s="7"/>
      <c r="G9" s="55"/>
      <c r="H9" s="2"/>
      <c r="I9" s="30"/>
      <c r="J9" s="3"/>
    </row>
    <row r="10" spans="1:10" ht="15.75">
      <c r="B10" s="27"/>
      <c r="C10" s="12"/>
      <c r="D10" s="7"/>
      <c r="E10" s="7"/>
      <c r="F10" s="7"/>
      <c r="G10" s="56"/>
      <c r="H10" s="2"/>
      <c r="I10" s="32"/>
      <c r="J10" s="3"/>
    </row>
    <row r="11" spans="1:10" ht="15.75">
      <c r="B11" s="27"/>
      <c r="D11" s="7"/>
      <c r="E11" s="7"/>
      <c r="F11" s="5"/>
      <c r="G11" s="6"/>
      <c r="H11" s="6"/>
      <c r="I11" s="33"/>
      <c r="J11" s="3"/>
    </row>
    <row r="12" spans="1:10" ht="15.75">
      <c r="B12" s="27"/>
      <c r="C12" s="42" t="s">
        <v>42</v>
      </c>
      <c r="D12" s="7"/>
      <c r="E12" s="7"/>
      <c r="F12" s="7"/>
      <c r="G12" s="7"/>
      <c r="H12" s="7"/>
      <c r="I12" s="33"/>
      <c r="J12" s="3"/>
    </row>
    <row r="13" spans="1:10" ht="15.75">
      <c r="B13" s="27"/>
      <c r="C13" s="43" t="s">
        <v>108</v>
      </c>
      <c r="D13" s="14"/>
      <c r="E13" s="14"/>
      <c r="F13" s="13"/>
      <c r="G13" s="13"/>
      <c r="H13" s="13"/>
      <c r="I13" s="34"/>
      <c r="J13" s="3"/>
    </row>
    <row r="14" spans="1:10">
      <c r="B14" s="27"/>
      <c r="C14" s="44" t="s">
        <v>110</v>
      </c>
      <c r="D14" s="14"/>
      <c r="E14" s="14"/>
      <c r="F14" s="13"/>
      <c r="G14" s="13"/>
      <c r="H14" s="13"/>
      <c r="I14" s="34"/>
      <c r="J14" s="3"/>
    </row>
    <row r="15" spans="1:10">
      <c r="B15" s="27"/>
      <c r="C15" s="44">
        <v>123</v>
      </c>
      <c r="D15" s="14"/>
      <c r="E15" s="14"/>
      <c r="F15" s="13"/>
      <c r="G15" s="13"/>
      <c r="H15" s="13"/>
      <c r="I15" s="34"/>
      <c r="J15" s="3"/>
    </row>
    <row r="16" spans="1:10">
      <c r="B16" s="27"/>
      <c r="C16" s="44" t="s">
        <v>109</v>
      </c>
      <c r="D16" s="14"/>
      <c r="E16" s="14"/>
      <c r="F16" s="13"/>
      <c r="G16" s="13"/>
      <c r="H16" s="13"/>
      <c r="I16" s="34"/>
      <c r="J16" s="3"/>
    </row>
    <row r="17" spans="2:10">
      <c r="B17" s="27"/>
      <c r="C17" s="44"/>
      <c r="D17" s="14"/>
      <c r="E17" s="14"/>
      <c r="F17" s="13"/>
      <c r="G17" s="13"/>
      <c r="H17" s="13"/>
      <c r="I17" s="34"/>
      <c r="J17" s="3"/>
    </row>
    <row r="18" spans="2:10">
      <c r="B18" s="27"/>
      <c r="C18" s="13"/>
      <c r="D18" s="14"/>
      <c r="E18" s="14"/>
      <c r="F18" s="14"/>
      <c r="G18" s="2"/>
      <c r="H18" s="2"/>
      <c r="I18" s="30"/>
      <c r="J18" s="3"/>
    </row>
    <row r="19" spans="2:10">
      <c r="B19" s="27"/>
      <c r="C19" s="88" t="s">
        <v>43</v>
      </c>
      <c r="D19" s="89"/>
      <c r="E19" s="45" t="s">
        <v>59</v>
      </c>
      <c r="F19" s="45" t="s">
        <v>26</v>
      </c>
      <c r="G19" s="45" t="s">
        <v>28</v>
      </c>
      <c r="H19" s="45" t="s">
        <v>44</v>
      </c>
      <c r="I19" s="33"/>
      <c r="J19" s="3"/>
    </row>
    <row r="20" spans="2:10">
      <c r="B20" s="27"/>
      <c r="C20" s="62"/>
      <c r="D20" s="62"/>
      <c r="E20" s="62"/>
      <c r="F20" s="62"/>
      <c r="G20" s="62"/>
      <c r="H20" s="4"/>
      <c r="I20" s="30"/>
      <c r="J20" s="3"/>
    </row>
    <row r="21" spans="2:10">
      <c r="B21" s="27"/>
      <c r="C21" s="46" t="s">
        <v>108</v>
      </c>
      <c r="D21" s="61">
        <v>250</v>
      </c>
      <c r="E21" s="61" t="s">
        <v>67</v>
      </c>
      <c r="F21" s="66">
        <v>44471</v>
      </c>
      <c r="G21" s="66">
        <v>44473</v>
      </c>
      <c r="H21" s="47">
        <v>200</v>
      </c>
      <c r="I21" s="35"/>
      <c r="J21" s="3"/>
    </row>
    <row r="22" spans="2:10">
      <c r="B22" s="27"/>
      <c r="C22" s="48"/>
      <c r="D22" s="48"/>
      <c r="E22" s="48"/>
      <c r="F22" s="67"/>
      <c r="G22" s="67"/>
      <c r="H22" s="49">
        <f t="shared" ref="H22:H31" si="0">F22*G22</f>
        <v>0</v>
      </c>
      <c r="I22" s="35"/>
      <c r="J22" s="3"/>
    </row>
    <row r="23" spans="2:10">
      <c r="B23" s="27"/>
      <c r="C23" s="46"/>
      <c r="D23" s="61"/>
      <c r="E23" s="61"/>
      <c r="F23" s="66"/>
      <c r="G23" s="66"/>
      <c r="H23" s="47">
        <f t="shared" si="0"/>
        <v>0</v>
      </c>
      <c r="I23" s="35"/>
      <c r="J23" s="3"/>
    </row>
    <row r="24" spans="2:10">
      <c r="B24" s="27"/>
      <c r="C24" s="48"/>
      <c r="D24" s="48"/>
      <c r="E24" s="48"/>
      <c r="F24" s="67"/>
      <c r="G24" s="67"/>
      <c r="H24" s="49">
        <f t="shared" si="0"/>
        <v>0</v>
      </c>
      <c r="I24" s="35"/>
      <c r="J24" s="3"/>
    </row>
    <row r="25" spans="2:10">
      <c r="B25" s="27"/>
      <c r="C25" s="46"/>
      <c r="D25" s="61"/>
      <c r="E25" s="61"/>
      <c r="F25" s="66"/>
      <c r="G25" s="66"/>
      <c r="H25" s="47">
        <f t="shared" si="0"/>
        <v>0</v>
      </c>
      <c r="I25" s="35"/>
      <c r="J25" s="3"/>
    </row>
    <row r="26" spans="2:10">
      <c r="B26" s="27"/>
      <c r="C26" s="48"/>
      <c r="D26" s="48"/>
      <c r="E26" s="48"/>
      <c r="F26" s="67"/>
      <c r="G26" s="67"/>
      <c r="H26" s="49">
        <f t="shared" si="0"/>
        <v>0</v>
      </c>
      <c r="I26" s="35"/>
      <c r="J26" s="3"/>
    </row>
    <row r="27" spans="2:10">
      <c r="B27" s="27"/>
      <c r="C27" s="46"/>
      <c r="D27" s="61"/>
      <c r="E27" s="61"/>
      <c r="F27" s="66"/>
      <c r="G27" s="66"/>
      <c r="H27" s="47">
        <f t="shared" si="0"/>
        <v>0</v>
      </c>
      <c r="I27" s="35"/>
      <c r="J27" s="3"/>
    </row>
    <row r="28" spans="2:10">
      <c r="B28" s="27"/>
      <c r="C28" s="48"/>
      <c r="D28" s="48"/>
      <c r="E28" s="48"/>
      <c r="F28" s="67"/>
      <c r="G28" s="67"/>
      <c r="H28" s="49">
        <f t="shared" si="0"/>
        <v>0</v>
      </c>
      <c r="I28" s="35"/>
      <c r="J28" s="3"/>
    </row>
    <row r="29" spans="2:10">
      <c r="B29" s="27"/>
      <c r="C29" s="46"/>
      <c r="D29" s="61"/>
      <c r="E29" s="61"/>
      <c r="F29" s="66"/>
      <c r="G29" s="66"/>
      <c r="H29" s="47">
        <f t="shared" si="0"/>
        <v>0</v>
      </c>
      <c r="I29" s="35"/>
      <c r="J29" s="3"/>
    </row>
    <row r="30" spans="2:10">
      <c r="B30" s="27"/>
      <c r="C30" s="48"/>
      <c r="D30" s="48"/>
      <c r="E30" s="48"/>
      <c r="F30" s="67"/>
      <c r="G30" s="67"/>
      <c r="H30" s="49">
        <f t="shared" si="0"/>
        <v>0</v>
      </c>
      <c r="I30" s="35"/>
      <c r="J30" s="3"/>
    </row>
    <row r="31" spans="2:10">
      <c r="B31" s="27"/>
      <c r="C31" s="46"/>
      <c r="D31" s="61"/>
      <c r="E31" s="61"/>
      <c r="F31" s="66"/>
      <c r="G31" s="66"/>
      <c r="H31" s="47">
        <f t="shared" si="0"/>
        <v>0</v>
      </c>
      <c r="I31" s="35"/>
    </row>
    <row r="32" spans="2:10" ht="24">
      <c r="B32" s="27"/>
      <c r="C32" s="50" t="s">
        <v>45</v>
      </c>
      <c r="D32" s="51"/>
      <c r="E32" s="51"/>
      <c r="F32" s="52"/>
      <c r="G32" s="53" t="s">
        <v>46</v>
      </c>
      <c r="H32" s="47">
        <f>SUM(H21:H31)</f>
        <v>200</v>
      </c>
      <c r="I32" s="36"/>
    </row>
    <row r="33" spans="2:9" ht="15.75">
      <c r="B33" s="27"/>
      <c r="C33" s="83"/>
      <c r="D33" s="84"/>
      <c r="E33" s="64"/>
      <c r="F33" s="52"/>
      <c r="G33" s="54" t="s">
        <v>47</v>
      </c>
      <c r="H33" s="47">
        <v>0</v>
      </c>
      <c r="I33" s="36"/>
    </row>
    <row r="34" spans="2:9" ht="15.75">
      <c r="B34" s="27"/>
      <c r="C34" s="84"/>
      <c r="D34" s="84"/>
      <c r="E34" s="64"/>
      <c r="F34" s="52"/>
      <c r="G34" s="54" t="s">
        <v>48</v>
      </c>
      <c r="H34" s="47">
        <v>50</v>
      </c>
      <c r="I34" s="36"/>
    </row>
    <row r="35" spans="2:9" ht="15.75">
      <c r="B35" s="27"/>
      <c r="C35" s="84"/>
      <c r="D35" s="84"/>
      <c r="E35" s="64"/>
      <c r="F35" s="52"/>
      <c r="G35" s="54" t="s">
        <v>49</v>
      </c>
      <c r="H35" s="68">
        <v>0.2</v>
      </c>
      <c r="I35" s="37"/>
    </row>
    <row r="36" spans="2:9" ht="15.75">
      <c r="B36" s="27"/>
      <c r="C36" s="84"/>
      <c r="D36" s="84"/>
      <c r="E36" s="64"/>
      <c r="F36" s="52"/>
      <c r="G36" s="54" t="s">
        <v>50</v>
      </c>
      <c r="H36" s="47">
        <f>H34*H35</f>
        <v>10</v>
      </c>
      <c r="I36" s="36"/>
    </row>
    <row r="37" spans="2:9" ht="15.75">
      <c r="B37" s="27"/>
      <c r="C37" s="84"/>
      <c r="D37" s="84"/>
      <c r="E37" s="64"/>
      <c r="F37" s="52"/>
      <c r="G37" s="80" t="s">
        <v>32</v>
      </c>
      <c r="H37" s="82">
        <f>H34+H36+H32</f>
        <v>260</v>
      </c>
      <c r="I37" s="38"/>
    </row>
    <row r="38" spans="2:9" ht="22.5">
      <c r="B38" s="27"/>
      <c r="C38" s="85"/>
      <c r="D38" s="84"/>
      <c r="E38" s="64"/>
      <c r="F38" s="52"/>
      <c r="G38" s="81"/>
      <c r="H38" s="82"/>
      <c r="I38" s="39"/>
    </row>
    <row r="39" spans="2:9">
      <c r="B39" s="27"/>
      <c r="C39" s="1"/>
      <c r="D39" s="1"/>
      <c r="E39" s="1"/>
      <c r="F39" s="1"/>
      <c r="G39" s="1"/>
      <c r="H39" s="1"/>
      <c r="I39" s="27"/>
    </row>
    <row r="40" spans="2:9" ht="7.5" customHeight="1">
      <c r="B40" s="28"/>
      <c r="C40" s="24"/>
      <c r="D40" s="24"/>
      <c r="E40" s="24"/>
      <c r="F40" s="24"/>
      <c r="G40" s="24"/>
      <c r="H40" s="24"/>
      <c r="I40" s="28"/>
    </row>
    <row r="41" spans="2:9"/>
  </sheetData>
  <mergeCells count="6">
    <mergeCell ref="G37:G38"/>
    <mergeCell ref="H37:H38"/>
    <mergeCell ref="C33:D37"/>
    <mergeCell ref="C38:D38"/>
    <mergeCell ref="C4:D4"/>
    <mergeCell ref="C19:D19"/>
  </mergeCells>
  <phoneticPr fontId="7" type="noConversion"/>
  <hyperlinks>
    <hyperlink ref="C9" r:id="rId1" xr:uid="{C8B6D3BD-CDF3-44B2-BA16-7CBD2004EC05}"/>
  </hyperlinks>
  <pageMargins left="0.7" right="0.7" top="0.75" bottom="0.75" header="0.3" footer="0.3"/>
  <pageSetup paperSize="9"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01AE7D-1EF4-47CB-A540-234781DD7948}">
  <sheetPr codeName="Sheet1"/>
  <dimension ref="A1:AI96"/>
  <sheetViews>
    <sheetView zoomScale="94" zoomScaleNormal="100" workbookViewId="0"/>
  </sheetViews>
  <sheetFormatPr defaultColWidth="18.5703125" defaultRowHeight="15"/>
  <cols>
    <col min="1" max="1" width="18.5703125" style="72"/>
    <col min="2" max="2" width="15.85546875" style="72" customWidth="1"/>
    <col min="3" max="3" width="14.42578125" style="72" customWidth="1"/>
    <col min="4" max="4" width="15.85546875" style="72" customWidth="1"/>
    <col min="5" max="5" width="15.28515625" style="72" customWidth="1"/>
    <col min="6" max="6" width="11.140625" style="72" customWidth="1"/>
    <col min="7" max="7" width="7.85546875" style="72" customWidth="1"/>
    <col min="8" max="8" width="13" style="72" customWidth="1"/>
    <col min="9" max="10" width="11.140625" style="72" customWidth="1"/>
    <col min="11" max="11" width="18.5703125" style="72"/>
    <col min="12" max="12" width="23.140625" style="72" customWidth="1"/>
    <col min="13" max="13" width="14.42578125" style="72" customWidth="1"/>
    <col min="14" max="15" width="18.5703125" style="72"/>
    <col min="16" max="16" width="30.140625" style="72" customWidth="1"/>
    <col min="17" max="23" width="18.5703125" style="72"/>
    <col min="24" max="24" width="13.5703125" style="72" bestFit="1" customWidth="1"/>
    <col min="25" max="25" width="11.7109375" style="72" bestFit="1" customWidth="1"/>
    <col min="26" max="27" width="18.5703125" style="72"/>
    <col min="28" max="28" width="13.140625" style="72" bestFit="1" customWidth="1"/>
    <col min="29" max="29" width="11.42578125" style="72" bestFit="1" customWidth="1"/>
    <col min="30" max="32" width="18.5703125" style="72"/>
    <col min="33" max="33" width="13.140625" style="72" bestFit="1" customWidth="1"/>
    <col min="34" max="34" width="11.42578125" style="72" bestFit="1" customWidth="1"/>
    <col min="35" max="16384" width="18.5703125" style="72"/>
  </cols>
  <sheetData>
    <row r="1" spans="1:35" s="69" customFormat="1">
      <c r="A1" s="69" t="s">
        <v>25</v>
      </c>
      <c r="B1" s="69" t="s">
        <v>26</v>
      </c>
      <c r="C1" s="69" t="s">
        <v>58</v>
      </c>
      <c r="D1" s="69" t="s">
        <v>28</v>
      </c>
      <c r="E1" s="69" t="s">
        <v>29</v>
      </c>
      <c r="F1" s="69" t="s">
        <v>30</v>
      </c>
      <c r="G1" s="69" t="s">
        <v>27</v>
      </c>
      <c r="H1" s="69" t="s">
        <v>63</v>
      </c>
      <c r="I1" s="69" t="s">
        <v>31</v>
      </c>
      <c r="J1" s="69" t="s">
        <v>92</v>
      </c>
      <c r="K1" s="69" t="s">
        <v>33</v>
      </c>
      <c r="L1" s="69" t="s">
        <v>34</v>
      </c>
      <c r="M1" s="69" t="s">
        <v>35</v>
      </c>
      <c r="N1" s="69" t="s">
        <v>36</v>
      </c>
      <c r="O1" s="69" t="s">
        <v>37</v>
      </c>
      <c r="P1" s="69" t="s">
        <v>61</v>
      </c>
      <c r="Q1" s="69" t="s">
        <v>63</v>
      </c>
    </row>
    <row r="2" spans="1:35" s="69" customFormat="1">
      <c r="A2" s="69" t="s">
        <v>0</v>
      </c>
      <c r="B2" s="70">
        <v>44409</v>
      </c>
      <c r="C2" s="69" t="s">
        <v>76</v>
      </c>
      <c r="D2" s="70">
        <v>44411</v>
      </c>
      <c r="E2" s="69" t="s">
        <v>11</v>
      </c>
      <c r="F2" s="69">
        <v>101</v>
      </c>
      <c r="G2" s="72">
        <v>2</v>
      </c>
      <c r="H2" s="72">
        <v>200</v>
      </c>
      <c r="I2" s="72">
        <v>100</v>
      </c>
      <c r="J2" s="72">
        <v>100</v>
      </c>
      <c r="K2" s="69" t="s">
        <v>55</v>
      </c>
      <c r="L2" s="69" t="s">
        <v>56</v>
      </c>
      <c r="M2" s="69">
        <v>14001</v>
      </c>
      <c r="N2" s="69">
        <v>892345671</v>
      </c>
      <c r="O2" s="69" t="s">
        <v>57</v>
      </c>
      <c r="P2" s="71">
        <v>44417.931342592594</v>
      </c>
      <c r="Q2" s="79">
        <f>H2</f>
        <v>200</v>
      </c>
    </row>
    <row r="3" spans="1:35">
      <c r="A3" s="72" t="s">
        <v>68</v>
      </c>
      <c r="B3" s="70">
        <v>44410</v>
      </c>
      <c r="C3" s="69" t="s">
        <v>67</v>
      </c>
      <c r="D3" s="70">
        <v>44412</v>
      </c>
      <c r="E3" s="69" t="s">
        <v>12</v>
      </c>
      <c r="F3" s="72">
        <v>102</v>
      </c>
      <c r="G3" s="72">
        <v>2</v>
      </c>
      <c r="H3" s="72">
        <v>200</v>
      </c>
      <c r="I3" s="72">
        <v>100</v>
      </c>
      <c r="J3" s="72">
        <v>100</v>
      </c>
      <c r="K3" s="73" t="s">
        <v>77</v>
      </c>
      <c r="L3" s="69" t="s">
        <v>56</v>
      </c>
      <c r="M3" s="69">
        <v>14001</v>
      </c>
      <c r="N3" s="69">
        <v>892345671</v>
      </c>
      <c r="O3" s="69" t="s">
        <v>57</v>
      </c>
      <c r="P3" s="71">
        <v>44418.931342592594</v>
      </c>
      <c r="Q3" s="79">
        <f t="shared" ref="Q3:Q33" si="0">H3</f>
        <v>200</v>
      </c>
    </row>
    <row r="4" spans="1:35">
      <c r="A4" s="72" t="s">
        <v>69</v>
      </c>
      <c r="B4" s="70">
        <v>44411</v>
      </c>
      <c r="C4" s="69" t="s">
        <v>67</v>
      </c>
      <c r="D4" s="70">
        <v>44413</v>
      </c>
      <c r="E4" s="69" t="s">
        <v>14</v>
      </c>
      <c r="F4" s="69">
        <v>103</v>
      </c>
      <c r="G4" s="72">
        <v>2</v>
      </c>
      <c r="H4" s="72">
        <v>200</v>
      </c>
      <c r="I4" s="72">
        <v>100</v>
      </c>
      <c r="J4" s="72">
        <v>100</v>
      </c>
      <c r="K4" s="73" t="s">
        <v>77</v>
      </c>
      <c r="L4" s="69" t="s">
        <v>56</v>
      </c>
      <c r="M4" s="69">
        <v>14001</v>
      </c>
      <c r="N4" s="69">
        <v>892345671</v>
      </c>
      <c r="O4" s="69" t="s">
        <v>57</v>
      </c>
      <c r="P4" s="71">
        <v>44419.931342592594</v>
      </c>
      <c r="Q4" s="79">
        <f t="shared" si="0"/>
        <v>200</v>
      </c>
    </row>
    <row r="5" spans="1:35">
      <c r="A5" s="72" t="s">
        <v>70</v>
      </c>
      <c r="B5" s="70">
        <v>44412</v>
      </c>
      <c r="C5" s="69" t="s">
        <v>76</v>
      </c>
      <c r="D5" s="70">
        <v>44417</v>
      </c>
      <c r="E5" s="69" t="s">
        <v>12</v>
      </c>
      <c r="F5" s="72">
        <v>104</v>
      </c>
      <c r="G5" s="72">
        <v>5</v>
      </c>
      <c r="H5" s="72">
        <v>500</v>
      </c>
      <c r="I5" s="72">
        <v>100</v>
      </c>
      <c r="J5" s="72">
        <v>400</v>
      </c>
      <c r="K5" s="73" t="s">
        <v>77</v>
      </c>
      <c r="L5" s="69" t="s">
        <v>56</v>
      </c>
      <c r="M5" s="69">
        <v>14001</v>
      </c>
      <c r="N5" s="69">
        <v>892345671</v>
      </c>
      <c r="O5" s="69" t="s">
        <v>57</v>
      </c>
      <c r="P5" s="71">
        <v>44420.931342592594</v>
      </c>
      <c r="Q5" s="79">
        <f t="shared" si="0"/>
        <v>500</v>
      </c>
      <c r="AB5"/>
      <c r="AC5"/>
      <c r="AD5"/>
    </row>
    <row r="6" spans="1:35">
      <c r="A6" s="72" t="s">
        <v>71</v>
      </c>
      <c r="B6" s="70">
        <v>44413</v>
      </c>
      <c r="C6" s="69" t="s">
        <v>67</v>
      </c>
      <c r="D6" s="70">
        <v>44417</v>
      </c>
      <c r="E6" s="69" t="s">
        <v>13</v>
      </c>
      <c r="F6" s="69">
        <v>105</v>
      </c>
      <c r="G6" s="72">
        <v>4</v>
      </c>
      <c r="H6" s="72">
        <v>400</v>
      </c>
      <c r="I6" s="72">
        <v>100</v>
      </c>
      <c r="J6" s="72">
        <v>300</v>
      </c>
      <c r="K6" s="73" t="s">
        <v>77</v>
      </c>
      <c r="L6" s="69" t="s">
        <v>56</v>
      </c>
      <c r="M6" s="69">
        <v>14001</v>
      </c>
      <c r="N6" s="69">
        <v>892345671</v>
      </c>
      <c r="O6" s="69" t="s">
        <v>57</v>
      </c>
      <c r="P6" s="71">
        <v>44421.931342592594</v>
      </c>
      <c r="Q6" s="79">
        <f t="shared" si="0"/>
        <v>400</v>
      </c>
      <c r="AB6"/>
      <c r="AC6"/>
      <c r="AD6"/>
    </row>
    <row r="7" spans="1:35">
      <c r="A7" s="72" t="s">
        <v>72</v>
      </c>
      <c r="B7" s="70">
        <v>44414</v>
      </c>
      <c r="C7" s="69" t="s">
        <v>67</v>
      </c>
      <c r="D7" s="70">
        <v>44415</v>
      </c>
      <c r="E7" s="69" t="s">
        <v>12</v>
      </c>
      <c r="F7" s="72">
        <v>106</v>
      </c>
      <c r="G7" s="72">
        <v>1</v>
      </c>
      <c r="H7" s="72">
        <v>100</v>
      </c>
      <c r="I7" s="72">
        <v>100</v>
      </c>
      <c r="J7" s="72">
        <v>0</v>
      </c>
      <c r="K7" s="73" t="s">
        <v>77</v>
      </c>
      <c r="L7" s="69" t="s">
        <v>56</v>
      </c>
      <c r="M7" s="69">
        <v>14001</v>
      </c>
      <c r="N7" s="69">
        <v>892345671</v>
      </c>
      <c r="O7" s="69" t="s">
        <v>57</v>
      </c>
      <c r="P7" s="71">
        <v>44422.931342592594</v>
      </c>
      <c r="Q7" s="79">
        <f t="shared" si="0"/>
        <v>100</v>
      </c>
      <c r="AB7"/>
      <c r="AC7"/>
      <c r="AD7"/>
      <c r="AG7"/>
      <c r="AH7"/>
      <c r="AI7"/>
    </row>
    <row r="8" spans="1:35">
      <c r="A8" s="72" t="s">
        <v>73</v>
      </c>
      <c r="B8" s="70">
        <v>44415</v>
      </c>
      <c r="C8" s="69" t="s">
        <v>76</v>
      </c>
      <c r="D8" s="70">
        <v>44416</v>
      </c>
      <c r="E8" s="69" t="s">
        <v>14</v>
      </c>
      <c r="F8" s="69">
        <v>107</v>
      </c>
      <c r="G8" s="72">
        <v>1</v>
      </c>
      <c r="H8" s="72">
        <v>100</v>
      </c>
      <c r="I8" s="72">
        <v>100</v>
      </c>
      <c r="J8" s="72">
        <v>0</v>
      </c>
      <c r="K8" s="73" t="s">
        <v>77</v>
      </c>
      <c r="L8" s="69" t="s">
        <v>56</v>
      </c>
      <c r="M8" s="69">
        <v>14001</v>
      </c>
      <c r="N8" s="69">
        <v>892345671</v>
      </c>
      <c r="O8" s="69" t="s">
        <v>57</v>
      </c>
      <c r="P8" s="71">
        <v>44423.931342592594</v>
      </c>
      <c r="Q8" s="79">
        <f t="shared" si="0"/>
        <v>100</v>
      </c>
      <c r="AB8"/>
      <c r="AC8"/>
      <c r="AD8"/>
      <c r="AG8"/>
      <c r="AH8"/>
      <c r="AI8"/>
    </row>
    <row r="9" spans="1:35">
      <c r="A9" s="72" t="s">
        <v>74</v>
      </c>
      <c r="B9" s="70">
        <v>44416</v>
      </c>
      <c r="C9" s="69" t="s">
        <v>67</v>
      </c>
      <c r="D9" s="70">
        <v>44417</v>
      </c>
      <c r="E9" s="69" t="s">
        <v>12</v>
      </c>
      <c r="F9" s="72">
        <v>108</v>
      </c>
      <c r="G9" s="72">
        <v>1</v>
      </c>
      <c r="H9" s="72">
        <v>100</v>
      </c>
      <c r="I9" s="72">
        <v>100</v>
      </c>
      <c r="J9" s="72">
        <v>0</v>
      </c>
      <c r="K9" s="73" t="s">
        <v>77</v>
      </c>
      <c r="L9" s="69" t="s">
        <v>56</v>
      </c>
      <c r="M9" s="69">
        <v>14001</v>
      </c>
      <c r="N9" s="69">
        <v>892345671</v>
      </c>
      <c r="O9" s="69" t="s">
        <v>57</v>
      </c>
      <c r="P9" s="71">
        <v>44424.931342592594</v>
      </c>
      <c r="Q9" s="79">
        <f t="shared" si="0"/>
        <v>100</v>
      </c>
      <c r="AB9"/>
      <c r="AC9"/>
      <c r="AD9"/>
      <c r="AG9"/>
      <c r="AH9"/>
      <c r="AI9"/>
    </row>
    <row r="10" spans="1:35">
      <c r="A10" s="72" t="s">
        <v>75</v>
      </c>
      <c r="B10" s="70">
        <v>44417</v>
      </c>
      <c r="C10" s="69" t="s">
        <v>76</v>
      </c>
      <c r="D10" s="70">
        <v>44422</v>
      </c>
      <c r="E10" s="69" t="s">
        <v>12</v>
      </c>
      <c r="F10" s="69">
        <v>109</v>
      </c>
      <c r="G10" s="72">
        <v>5</v>
      </c>
      <c r="H10" s="72">
        <v>500</v>
      </c>
      <c r="I10" s="72">
        <v>100</v>
      </c>
      <c r="J10" s="72">
        <v>400</v>
      </c>
      <c r="K10" s="73" t="s">
        <v>77</v>
      </c>
      <c r="L10" s="69" t="s">
        <v>56</v>
      </c>
      <c r="M10" s="69">
        <v>14001</v>
      </c>
      <c r="N10" s="69">
        <v>892345671</v>
      </c>
      <c r="O10" s="69" t="s">
        <v>57</v>
      </c>
      <c r="P10" s="71">
        <v>44425.931342592594</v>
      </c>
      <c r="Q10" s="79">
        <f t="shared" si="0"/>
        <v>500</v>
      </c>
      <c r="X10" s="77" t="s">
        <v>104</v>
      </c>
      <c r="Y10" t="s">
        <v>103</v>
      </c>
      <c r="Z10"/>
      <c r="AB10"/>
      <c r="AC10"/>
      <c r="AD10"/>
      <c r="AG10"/>
      <c r="AH10"/>
      <c r="AI10"/>
    </row>
    <row r="11" spans="1:35">
      <c r="A11" s="72" t="s">
        <v>78</v>
      </c>
      <c r="B11" s="70">
        <v>44418</v>
      </c>
      <c r="C11" s="69" t="s">
        <v>76</v>
      </c>
      <c r="D11" s="70">
        <v>44422</v>
      </c>
      <c r="E11" s="69" t="s">
        <v>14</v>
      </c>
      <c r="F11" s="72">
        <v>110</v>
      </c>
      <c r="G11" s="72">
        <v>4</v>
      </c>
      <c r="H11" s="72">
        <v>400</v>
      </c>
      <c r="I11" s="72">
        <v>100</v>
      </c>
      <c r="J11" s="72">
        <v>300</v>
      </c>
      <c r="K11" s="73" t="s">
        <v>77</v>
      </c>
      <c r="L11" s="69" t="s">
        <v>56</v>
      </c>
      <c r="M11" s="69">
        <v>14001</v>
      </c>
      <c r="N11" s="69">
        <v>892345671</v>
      </c>
      <c r="O11" s="69" t="s">
        <v>57</v>
      </c>
      <c r="P11" s="71">
        <v>44426.931342592594</v>
      </c>
      <c r="Q11" s="79">
        <f t="shared" si="0"/>
        <v>400</v>
      </c>
      <c r="X11" s="78" t="s">
        <v>106</v>
      </c>
      <c r="Y11" s="76">
        <v>7100</v>
      </c>
      <c r="Z11"/>
      <c r="AB11"/>
      <c r="AC11"/>
      <c r="AD11"/>
      <c r="AG11"/>
      <c r="AH11"/>
      <c r="AI11"/>
    </row>
    <row r="12" spans="1:35">
      <c r="A12" s="72" t="s">
        <v>79</v>
      </c>
      <c r="B12" s="70">
        <v>44419</v>
      </c>
      <c r="C12" s="69" t="s">
        <v>67</v>
      </c>
      <c r="D12" s="70">
        <v>44423</v>
      </c>
      <c r="E12" s="69" t="s">
        <v>14</v>
      </c>
      <c r="F12" s="69">
        <v>111</v>
      </c>
      <c r="G12" s="72">
        <v>4</v>
      </c>
      <c r="H12" s="72">
        <v>400</v>
      </c>
      <c r="I12" s="72">
        <v>100</v>
      </c>
      <c r="J12" s="72">
        <v>300</v>
      </c>
      <c r="K12" s="73" t="s">
        <v>77</v>
      </c>
      <c r="L12" s="69" t="s">
        <v>56</v>
      </c>
      <c r="M12" s="69">
        <v>14001</v>
      </c>
      <c r="N12" s="69">
        <v>892345671</v>
      </c>
      <c r="O12" s="69" t="s">
        <v>57</v>
      </c>
      <c r="P12" s="71">
        <v>44427.931342592594</v>
      </c>
      <c r="Q12" s="79">
        <f t="shared" si="0"/>
        <v>400</v>
      </c>
      <c r="X12" s="78" t="s">
        <v>107</v>
      </c>
      <c r="Y12" s="76">
        <v>2600</v>
      </c>
      <c r="Z12"/>
      <c r="AB12"/>
      <c r="AC12"/>
      <c r="AD12"/>
      <c r="AG12"/>
      <c r="AH12"/>
      <c r="AI12"/>
    </row>
    <row r="13" spans="1:35">
      <c r="A13" s="72" t="s">
        <v>80</v>
      </c>
      <c r="B13" s="70">
        <v>44420</v>
      </c>
      <c r="C13" s="69" t="s">
        <v>67</v>
      </c>
      <c r="D13" s="70">
        <v>44424</v>
      </c>
      <c r="E13" s="69" t="s">
        <v>12</v>
      </c>
      <c r="F13" s="72">
        <v>112</v>
      </c>
      <c r="G13" s="72">
        <v>4</v>
      </c>
      <c r="H13" s="72">
        <v>400</v>
      </c>
      <c r="I13" s="72">
        <v>100</v>
      </c>
      <c r="J13" s="72">
        <v>300</v>
      </c>
      <c r="K13" s="73" t="s">
        <v>77</v>
      </c>
      <c r="L13" s="69" t="s">
        <v>56</v>
      </c>
      <c r="M13" s="69">
        <v>14001</v>
      </c>
      <c r="N13" s="69">
        <v>892345671</v>
      </c>
      <c r="O13" s="69" t="s">
        <v>57</v>
      </c>
      <c r="P13" s="71">
        <v>44428.931342592594</v>
      </c>
      <c r="Q13" s="79">
        <f t="shared" si="0"/>
        <v>400</v>
      </c>
      <c r="X13" s="78" t="s">
        <v>105</v>
      </c>
      <c r="Y13" s="76">
        <v>9700</v>
      </c>
      <c r="Z13"/>
      <c r="AB13"/>
      <c r="AC13"/>
      <c r="AD13"/>
      <c r="AG13"/>
      <c r="AH13"/>
      <c r="AI13"/>
    </row>
    <row r="14" spans="1:35">
      <c r="A14" s="72" t="s">
        <v>81</v>
      </c>
      <c r="B14" s="70">
        <v>44421</v>
      </c>
      <c r="C14" s="69" t="s">
        <v>76</v>
      </c>
      <c r="D14" s="70">
        <v>44425</v>
      </c>
      <c r="E14" s="69" t="s">
        <v>12</v>
      </c>
      <c r="F14" s="69">
        <v>113</v>
      </c>
      <c r="G14" s="72">
        <v>4</v>
      </c>
      <c r="H14" s="72">
        <v>400</v>
      </c>
      <c r="I14" s="72">
        <v>100</v>
      </c>
      <c r="J14" s="72">
        <v>300</v>
      </c>
      <c r="K14" s="73" t="s">
        <v>77</v>
      </c>
      <c r="L14" s="69" t="s">
        <v>56</v>
      </c>
      <c r="M14" s="69">
        <v>14001</v>
      </c>
      <c r="N14" s="69">
        <v>892345671</v>
      </c>
      <c r="O14" s="69" t="s">
        <v>57</v>
      </c>
      <c r="P14" s="71">
        <v>44429.931342592594</v>
      </c>
      <c r="Q14" s="79">
        <f t="shared" si="0"/>
        <v>400</v>
      </c>
      <c r="X14"/>
      <c r="Y14"/>
      <c r="Z14"/>
      <c r="AB14"/>
      <c r="AC14"/>
      <c r="AD14"/>
      <c r="AG14"/>
      <c r="AH14"/>
      <c r="AI14"/>
    </row>
    <row r="15" spans="1:35">
      <c r="A15" s="72" t="s">
        <v>90</v>
      </c>
      <c r="B15" s="70">
        <v>44422</v>
      </c>
      <c r="C15" s="69" t="s">
        <v>67</v>
      </c>
      <c r="D15" s="70">
        <v>44427</v>
      </c>
      <c r="E15" s="69" t="s">
        <v>14</v>
      </c>
      <c r="F15" s="72">
        <v>114</v>
      </c>
      <c r="G15" s="72">
        <v>5</v>
      </c>
      <c r="H15" s="72">
        <v>500</v>
      </c>
      <c r="I15" s="72">
        <v>100</v>
      </c>
      <c r="J15" s="72">
        <v>400</v>
      </c>
      <c r="K15" s="73" t="s">
        <v>77</v>
      </c>
      <c r="L15" s="69" t="s">
        <v>56</v>
      </c>
      <c r="M15" s="69">
        <v>14001</v>
      </c>
      <c r="N15" s="69">
        <v>892345671</v>
      </c>
      <c r="O15" s="69" t="s">
        <v>57</v>
      </c>
      <c r="P15" s="71">
        <v>44430.931342592594</v>
      </c>
      <c r="Q15" s="79">
        <f t="shared" si="0"/>
        <v>500</v>
      </c>
      <c r="X15"/>
      <c r="Y15"/>
      <c r="Z15"/>
      <c r="AB15"/>
      <c r="AC15"/>
      <c r="AD15"/>
      <c r="AG15"/>
      <c r="AH15"/>
      <c r="AI15"/>
    </row>
    <row r="16" spans="1:35">
      <c r="A16" s="72" t="s">
        <v>89</v>
      </c>
      <c r="B16" s="70">
        <v>44423</v>
      </c>
      <c r="C16" s="69" t="s">
        <v>67</v>
      </c>
      <c r="D16" s="70">
        <v>44426</v>
      </c>
      <c r="E16" s="69" t="s">
        <v>14</v>
      </c>
      <c r="F16" s="69">
        <v>115</v>
      </c>
      <c r="G16" s="72">
        <v>3</v>
      </c>
      <c r="H16" s="72">
        <v>300</v>
      </c>
      <c r="I16" s="72">
        <v>100</v>
      </c>
      <c r="J16" s="72">
        <v>200</v>
      </c>
      <c r="K16" s="73" t="s">
        <v>77</v>
      </c>
      <c r="L16" s="69" t="s">
        <v>56</v>
      </c>
      <c r="M16" s="69">
        <v>14001</v>
      </c>
      <c r="N16" s="69">
        <v>892345671</v>
      </c>
      <c r="O16" s="69" t="s">
        <v>57</v>
      </c>
      <c r="P16" s="71">
        <v>44431.931342592594</v>
      </c>
      <c r="Q16" s="79">
        <f t="shared" si="0"/>
        <v>300</v>
      </c>
      <c r="X16"/>
      <c r="Y16"/>
      <c r="Z16"/>
      <c r="AB16"/>
      <c r="AC16"/>
      <c r="AD16"/>
      <c r="AG16"/>
      <c r="AH16"/>
      <c r="AI16"/>
    </row>
    <row r="17" spans="1:35">
      <c r="A17" s="72" t="s">
        <v>88</v>
      </c>
      <c r="B17" s="70">
        <v>44424</v>
      </c>
      <c r="C17" s="69" t="s">
        <v>76</v>
      </c>
      <c r="D17" s="70">
        <v>44426</v>
      </c>
      <c r="E17" s="69" t="s">
        <v>12</v>
      </c>
      <c r="F17" s="72">
        <v>116</v>
      </c>
      <c r="G17" s="72">
        <v>2</v>
      </c>
      <c r="H17" s="72">
        <v>200</v>
      </c>
      <c r="I17" s="72">
        <v>100</v>
      </c>
      <c r="J17" s="72">
        <v>100</v>
      </c>
      <c r="K17" s="73" t="s">
        <v>77</v>
      </c>
      <c r="L17" s="69" t="s">
        <v>56</v>
      </c>
      <c r="M17" s="69">
        <v>14001</v>
      </c>
      <c r="N17" s="69">
        <v>892345671</v>
      </c>
      <c r="O17" s="69" t="s">
        <v>57</v>
      </c>
      <c r="P17" s="71">
        <v>44432.931342592594</v>
      </c>
      <c r="Q17" s="79">
        <f t="shared" si="0"/>
        <v>200</v>
      </c>
      <c r="X17"/>
      <c r="Y17"/>
      <c r="Z17"/>
      <c r="AB17"/>
      <c r="AC17"/>
      <c r="AD17"/>
      <c r="AG17"/>
      <c r="AH17"/>
      <c r="AI17"/>
    </row>
    <row r="18" spans="1:35">
      <c r="A18" s="72" t="s">
        <v>82</v>
      </c>
      <c r="B18" s="70">
        <v>44425</v>
      </c>
      <c r="C18" s="69" t="s">
        <v>67</v>
      </c>
      <c r="D18" s="70">
        <v>44428</v>
      </c>
      <c r="E18" s="69" t="s">
        <v>13</v>
      </c>
      <c r="F18" s="69">
        <v>117</v>
      </c>
      <c r="G18" s="72">
        <v>3</v>
      </c>
      <c r="H18" s="72">
        <v>300</v>
      </c>
      <c r="I18" s="72">
        <v>100</v>
      </c>
      <c r="J18" s="72">
        <v>200</v>
      </c>
      <c r="K18" s="73" t="s">
        <v>77</v>
      </c>
      <c r="L18" s="69" t="s">
        <v>56</v>
      </c>
      <c r="M18" s="69">
        <v>14001</v>
      </c>
      <c r="N18" s="69">
        <v>892345671</v>
      </c>
      <c r="O18" s="69" t="s">
        <v>57</v>
      </c>
      <c r="P18" s="71">
        <v>44433.931342592594</v>
      </c>
      <c r="Q18" s="79">
        <f t="shared" si="0"/>
        <v>300</v>
      </c>
      <c r="X18"/>
      <c r="Y18"/>
      <c r="Z18"/>
      <c r="AB18"/>
      <c r="AC18"/>
      <c r="AD18"/>
      <c r="AG18"/>
      <c r="AH18"/>
      <c r="AI18"/>
    </row>
    <row r="19" spans="1:35">
      <c r="A19" s="72" t="s">
        <v>83</v>
      </c>
      <c r="B19" s="70">
        <v>44426</v>
      </c>
      <c r="C19" s="69" t="s">
        <v>76</v>
      </c>
      <c r="D19" s="70">
        <v>44433</v>
      </c>
      <c r="E19" s="69" t="s">
        <v>12</v>
      </c>
      <c r="F19" s="72">
        <v>118</v>
      </c>
      <c r="G19" s="72">
        <v>7</v>
      </c>
      <c r="H19" s="72">
        <v>700</v>
      </c>
      <c r="I19" s="72">
        <v>100</v>
      </c>
      <c r="J19" s="72">
        <v>600</v>
      </c>
      <c r="K19" s="73" t="s">
        <v>77</v>
      </c>
      <c r="L19" s="69" t="s">
        <v>56</v>
      </c>
      <c r="M19" s="69">
        <v>14001</v>
      </c>
      <c r="N19" s="69">
        <v>892345671</v>
      </c>
      <c r="O19" s="69" t="s">
        <v>57</v>
      </c>
      <c r="P19" s="71">
        <v>44434.931342592594</v>
      </c>
      <c r="Q19" s="79">
        <f t="shared" si="0"/>
        <v>700</v>
      </c>
      <c r="X19"/>
      <c r="Y19"/>
      <c r="Z19"/>
      <c r="AB19"/>
      <c r="AC19"/>
      <c r="AD19"/>
      <c r="AG19"/>
      <c r="AH19"/>
      <c r="AI19"/>
    </row>
    <row r="20" spans="1:35">
      <c r="A20" s="72" t="s">
        <v>84</v>
      </c>
      <c r="B20" s="70">
        <v>44427</v>
      </c>
      <c r="C20" s="69" t="s">
        <v>76</v>
      </c>
      <c r="D20" s="70">
        <v>44428</v>
      </c>
      <c r="E20" s="69" t="s">
        <v>14</v>
      </c>
      <c r="F20" s="69">
        <v>119</v>
      </c>
      <c r="G20" s="72">
        <v>1</v>
      </c>
      <c r="H20" s="72">
        <v>100</v>
      </c>
      <c r="I20" s="72">
        <v>100</v>
      </c>
      <c r="J20" s="72">
        <v>0</v>
      </c>
      <c r="K20" s="73" t="s">
        <v>77</v>
      </c>
      <c r="L20" s="69" t="s">
        <v>56</v>
      </c>
      <c r="M20" s="69">
        <v>14001</v>
      </c>
      <c r="N20" s="69">
        <v>892345671</v>
      </c>
      <c r="O20" s="69" t="s">
        <v>57</v>
      </c>
      <c r="P20" s="71">
        <v>44435.931342592594</v>
      </c>
      <c r="Q20" s="79">
        <f t="shared" si="0"/>
        <v>100</v>
      </c>
      <c r="X20"/>
      <c r="Y20"/>
      <c r="Z20"/>
      <c r="AB20"/>
      <c r="AC20"/>
      <c r="AD20"/>
      <c r="AG20"/>
      <c r="AH20"/>
      <c r="AI20"/>
    </row>
    <row r="21" spans="1:35">
      <c r="A21" s="72" t="s">
        <v>85</v>
      </c>
      <c r="B21" s="70">
        <v>44428</v>
      </c>
      <c r="C21" s="69" t="s">
        <v>67</v>
      </c>
      <c r="D21" s="70">
        <v>44432</v>
      </c>
      <c r="E21" s="69" t="s">
        <v>12</v>
      </c>
      <c r="F21" s="72">
        <v>120</v>
      </c>
      <c r="G21" s="72">
        <v>4</v>
      </c>
      <c r="H21" s="72">
        <v>400</v>
      </c>
      <c r="I21" s="72">
        <v>100</v>
      </c>
      <c r="J21" s="72">
        <v>300</v>
      </c>
      <c r="K21" s="73" t="s">
        <v>77</v>
      </c>
      <c r="L21" s="69" t="s">
        <v>56</v>
      </c>
      <c r="M21" s="69">
        <v>14001</v>
      </c>
      <c r="N21" s="69">
        <v>892345671</v>
      </c>
      <c r="O21" s="69" t="s">
        <v>57</v>
      </c>
      <c r="P21" s="71">
        <v>44436.931342592594</v>
      </c>
      <c r="Q21" s="79">
        <f t="shared" si="0"/>
        <v>400</v>
      </c>
      <c r="X21"/>
      <c r="Y21"/>
      <c r="Z21"/>
      <c r="AB21"/>
      <c r="AC21"/>
      <c r="AD21"/>
      <c r="AG21"/>
      <c r="AH21"/>
      <c r="AI21"/>
    </row>
    <row r="22" spans="1:35">
      <c r="A22" s="72" t="s">
        <v>86</v>
      </c>
      <c r="B22" s="70">
        <v>44429</v>
      </c>
      <c r="C22" s="69" t="s">
        <v>67</v>
      </c>
      <c r="D22" s="70">
        <v>44430</v>
      </c>
      <c r="E22" s="69" t="s">
        <v>11</v>
      </c>
      <c r="F22" s="69">
        <v>121</v>
      </c>
      <c r="G22" s="72">
        <v>1</v>
      </c>
      <c r="H22" s="72">
        <v>100</v>
      </c>
      <c r="I22" s="72">
        <v>100</v>
      </c>
      <c r="J22" s="72">
        <v>0</v>
      </c>
      <c r="K22" s="73" t="s">
        <v>77</v>
      </c>
      <c r="L22" s="69" t="s">
        <v>56</v>
      </c>
      <c r="M22" s="69">
        <v>14001</v>
      </c>
      <c r="N22" s="69">
        <v>892345671</v>
      </c>
      <c r="O22" s="69" t="s">
        <v>57</v>
      </c>
      <c r="P22" s="71">
        <v>44437.931342592594</v>
      </c>
      <c r="Q22" s="79">
        <f t="shared" si="0"/>
        <v>100</v>
      </c>
      <c r="X22"/>
      <c r="Y22"/>
      <c r="Z22"/>
      <c r="AB22"/>
      <c r="AC22"/>
      <c r="AD22"/>
      <c r="AG22"/>
      <c r="AH22"/>
      <c r="AI22"/>
    </row>
    <row r="23" spans="1:35">
      <c r="A23" s="72" t="s">
        <v>87</v>
      </c>
      <c r="B23" s="70">
        <v>44430</v>
      </c>
      <c r="C23" s="69" t="s">
        <v>76</v>
      </c>
      <c r="D23" s="70">
        <v>44431</v>
      </c>
      <c r="E23" s="69" t="s">
        <v>13</v>
      </c>
      <c r="F23" s="72">
        <v>122</v>
      </c>
      <c r="G23" s="72">
        <v>1</v>
      </c>
      <c r="H23" s="72">
        <v>100</v>
      </c>
      <c r="I23" s="72">
        <v>100</v>
      </c>
      <c r="J23" s="72">
        <v>0</v>
      </c>
      <c r="K23" s="73" t="s">
        <v>77</v>
      </c>
      <c r="L23" s="69" t="s">
        <v>56</v>
      </c>
      <c r="M23" s="69">
        <v>14001</v>
      </c>
      <c r="N23" s="69">
        <v>892345671</v>
      </c>
      <c r="O23" s="69" t="s">
        <v>57</v>
      </c>
      <c r="P23" s="71">
        <v>44438.931342592594</v>
      </c>
      <c r="Q23" s="79">
        <f t="shared" si="0"/>
        <v>100</v>
      </c>
      <c r="X23"/>
      <c r="Y23"/>
      <c r="Z23"/>
      <c r="AB23"/>
      <c r="AG23"/>
      <c r="AH23"/>
      <c r="AI23"/>
    </row>
    <row r="24" spans="1:35">
      <c r="A24" s="72" t="s">
        <v>93</v>
      </c>
      <c r="B24" s="70">
        <v>44431</v>
      </c>
      <c r="C24" s="69" t="s">
        <v>76</v>
      </c>
      <c r="D24" s="70">
        <v>44436</v>
      </c>
      <c r="E24" s="69" t="s">
        <v>13</v>
      </c>
      <c r="F24" s="72">
        <v>123</v>
      </c>
      <c r="G24" s="72">
        <v>5</v>
      </c>
      <c r="H24" s="72">
        <v>500</v>
      </c>
      <c r="I24" s="72">
        <v>100</v>
      </c>
      <c r="J24" s="72">
        <v>400</v>
      </c>
      <c r="K24" s="73" t="s">
        <v>77</v>
      </c>
      <c r="L24" s="69" t="s">
        <v>56</v>
      </c>
      <c r="M24" s="69">
        <v>14001</v>
      </c>
      <c r="N24" s="69">
        <v>892345671</v>
      </c>
      <c r="O24" s="69" t="s">
        <v>57</v>
      </c>
      <c r="P24" s="71">
        <v>44439.931342592594</v>
      </c>
      <c r="Q24" s="79">
        <f t="shared" si="0"/>
        <v>500</v>
      </c>
      <c r="X24"/>
      <c r="Y24"/>
      <c r="Z24"/>
      <c r="AB24"/>
      <c r="AG24"/>
      <c r="AH24"/>
      <c r="AI24"/>
    </row>
    <row r="25" spans="1:35">
      <c r="A25" s="72" t="s">
        <v>94</v>
      </c>
      <c r="B25" s="75">
        <v>44440</v>
      </c>
      <c r="C25" s="69" t="s">
        <v>76</v>
      </c>
      <c r="D25" s="75">
        <v>44442</v>
      </c>
      <c r="E25" s="69" t="s">
        <v>12</v>
      </c>
      <c r="F25" s="69">
        <v>124</v>
      </c>
      <c r="G25" s="72">
        <v>2</v>
      </c>
      <c r="H25" s="72">
        <v>200</v>
      </c>
      <c r="I25" s="72">
        <v>100</v>
      </c>
      <c r="J25" s="72">
        <v>100</v>
      </c>
      <c r="K25" s="73" t="s">
        <v>77</v>
      </c>
      <c r="L25" s="69" t="s">
        <v>56</v>
      </c>
      <c r="M25" s="69">
        <v>14001</v>
      </c>
      <c r="N25" s="69">
        <v>892345671</v>
      </c>
      <c r="O25" s="69" t="s">
        <v>57</v>
      </c>
      <c r="P25" s="71">
        <v>44440.931342592594</v>
      </c>
      <c r="Q25" s="79">
        <f t="shared" si="0"/>
        <v>200</v>
      </c>
      <c r="X25"/>
      <c r="Y25"/>
      <c r="Z25"/>
      <c r="AB25"/>
      <c r="AG25"/>
      <c r="AH25"/>
    </row>
    <row r="26" spans="1:35">
      <c r="A26" s="72" t="s">
        <v>95</v>
      </c>
      <c r="B26" s="75">
        <v>44440</v>
      </c>
      <c r="C26" s="69" t="s">
        <v>76</v>
      </c>
      <c r="D26" s="75">
        <v>44442</v>
      </c>
      <c r="E26" s="69" t="s">
        <v>12</v>
      </c>
      <c r="F26" s="72">
        <v>125</v>
      </c>
      <c r="G26" s="72">
        <v>2</v>
      </c>
      <c r="H26" s="72">
        <v>200</v>
      </c>
      <c r="I26" s="72">
        <v>100</v>
      </c>
      <c r="J26" s="72">
        <v>100</v>
      </c>
      <c r="K26" s="73" t="s">
        <v>77</v>
      </c>
      <c r="L26" s="69" t="s">
        <v>56</v>
      </c>
      <c r="M26" s="69">
        <v>14001</v>
      </c>
      <c r="N26" s="69">
        <v>892345671</v>
      </c>
      <c r="O26" s="69" t="s">
        <v>57</v>
      </c>
      <c r="P26" s="71">
        <v>44441.931342592594</v>
      </c>
      <c r="Q26" s="79">
        <f t="shared" si="0"/>
        <v>200</v>
      </c>
      <c r="X26"/>
      <c r="Y26"/>
      <c r="Z26"/>
      <c r="AB26"/>
      <c r="AG26"/>
      <c r="AH26"/>
    </row>
    <row r="27" spans="1:35">
      <c r="A27" s="72" t="s">
        <v>96</v>
      </c>
      <c r="B27" s="75">
        <v>44440</v>
      </c>
      <c r="C27" s="69" t="s">
        <v>67</v>
      </c>
      <c r="D27" s="75">
        <v>44442</v>
      </c>
      <c r="E27" s="69" t="s">
        <v>12</v>
      </c>
      <c r="F27" s="72">
        <v>126</v>
      </c>
      <c r="G27" s="72">
        <v>2</v>
      </c>
      <c r="H27" s="72">
        <v>200</v>
      </c>
      <c r="I27" s="72">
        <v>100</v>
      </c>
      <c r="J27" s="72">
        <v>100</v>
      </c>
      <c r="K27" s="73" t="s">
        <v>77</v>
      </c>
      <c r="L27" s="69" t="s">
        <v>56</v>
      </c>
      <c r="M27" s="69">
        <v>14001</v>
      </c>
      <c r="N27" s="69">
        <v>892345671</v>
      </c>
      <c r="O27" s="69" t="s">
        <v>57</v>
      </c>
      <c r="P27" s="71">
        <v>44442.931342592594</v>
      </c>
      <c r="Q27" s="79">
        <f t="shared" si="0"/>
        <v>200</v>
      </c>
      <c r="X27"/>
      <c r="Y27"/>
      <c r="Z27"/>
      <c r="AB27"/>
      <c r="AG27"/>
      <c r="AH27"/>
    </row>
    <row r="28" spans="1:35">
      <c r="A28" s="72" t="s">
        <v>97</v>
      </c>
      <c r="B28" s="75">
        <v>44440</v>
      </c>
      <c r="C28" s="69" t="s">
        <v>67</v>
      </c>
      <c r="D28" s="75">
        <v>44442</v>
      </c>
      <c r="E28" s="69" t="s">
        <v>12</v>
      </c>
      <c r="F28" s="69">
        <v>127</v>
      </c>
      <c r="G28" s="72">
        <v>2</v>
      </c>
      <c r="H28" s="72">
        <v>200</v>
      </c>
      <c r="I28" s="72">
        <v>100</v>
      </c>
      <c r="J28" s="72">
        <v>100</v>
      </c>
      <c r="K28" s="73" t="s">
        <v>77</v>
      </c>
      <c r="L28" s="69" t="s">
        <v>56</v>
      </c>
      <c r="M28" s="69">
        <v>14001</v>
      </c>
      <c r="N28" s="69">
        <v>892345671</v>
      </c>
      <c r="O28" s="69" t="s">
        <v>57</v>
      </c>
      <c r="P28" s="71">
        <v>44443.931342592594</v>
      </c>
      <c r="Q28" s="79">
        <f t="shared" si="0"/>
        <v>200</v>
      </c>
      <c r="X28"/>
      <c r="Y28"/>
      <c r="AB28"/>
      <c r="AG28"/>
      <c r="AH28"/>
    </row>
    <row r="29" spans="1:35">
      <c r="A29" s="72" t="s">
        <v>98</v>
      </c>
      <c r="B29" s="75">
        <v>44440</v>
      </c>
      <c r="C29" s="69" t="s">
        <v>67</v>
      </c>
      <c r="D29" s="75">
        <v>44443</v>
      </c>
      <c r="E29" s="69" t="s">
        <v>12</v>
      </c>
      <c r="F29" s="72">
        <v>128</v>
      </c>
      <c r="G29" s="72">
        <v>3</v>
      </c>
      <c r="H29" s="72">
        <v>300</v>
      </c>
      <c r="I29" s="72">
        <v>100</v>
      </c>
      <c r="J29" s="72">
        <v>200</v>
      </c>
      <c r="K29" s="73" t="s">
        <v>77</v>
      </c>
      <c r="L29" s="69" t="s">
        <v>56</v>
      </c>
      <c r="M29" s="69">
        <v>14001</v>
      </c>
      <c r="N29" s="69">
        <v>892345671</v>
      </c>
      <c r="O29" s="69" t="s">
        <v>57</v>
      </c>
      <c r="P29" s="71">
        <v>44444.931342592594</v>
      </c>
      <c r="Q29" s="79">
        <f t="shared" si="0"/>
        <v>300</v>
      </c>
      <c r="X29"/>
      <c r="Y29"/>
      <c r="AB29"/>
      <c r="AG29"/>
      <c r="AH29"/>
    </row>
    <row r="30" spans="1:35">
      <c r="A30" s="72" t="s">
        <v>99</v>
      </c>
      <c r="B30" s="75">
        <v>44441</v>
      </c>
      <c r="C30" s="69" t="s">
        <v>67</v>
      </c>
      <c r="D30" s="75">
        <v>44443</v>
      </c>
      <c r="E30" s="69" t="s">
        <v>12</v>
      </c>
      <c r="F30" s="72">
        <v>129</v>
      </c>
      <c r="G30" s="72">
        <v>2</v>
      </c>
      <c r="H30" s="72">
        <v>200</v>
      </c>
      <c r="I30" s="72">
        <v>100</v>
      </c>
      <c r="J30" s="72">
        <v>100</v>
      </c>
      <c r="K30" s="73" t="s">
        <v>77</v>
      </c>
      <c r="L30" s="69" t="s">
        <v>56</v>
      </c>
      <c r="M30" s="69">
        <v>14001</v>
      </c>
      <c r="N30" s="69">
        <v>892345671</v>
      </c>
      <c r="O30" s="69" t="s">
        <v>57</v>
      </c>
      <c r="P30" s="71">
        <v>44445.931342592594</v>
      </c>
      <c r="Q30" s="79">
        <f t="shared" si="0"/>
        <v>200</v>
      </c>
      <c r="X30"/>
      <c r="Y30"/>
      <c r="AB30"/>
      <c r="AG30"/>
      <c r="AH30"/>
    </row>
    <row r="31" spans="1:35">
      <c r="A31" s="72" t="s">
        <v>100</v>
      </c>
      <c r="B31" s="75">
        <v>44442</v>
      </c>
      <c r="C31" s="69" t="s">
        <v>67</v>
      </c>
      <c r="D31" s="75">
        <v>44444</v>
      </c>
      <c r="E31" s="69" t="s">
        <v>12</v>
      </c>
      <c r="F31" s="69">
        <v>130</v>
      </c>
      <c r="G31" s="72">
        <v>2</v>
      </c>
      <c r="H31" s="72">
        <v>200</v>
      </c>
      <c r="I31" s="72">
        <v>100</v>
      </c>
      <c r="J31" s="72">
        <v>100</v>
      </c>
      <c r="K31" s="73" t="s">
        <v>77</v>
      </c>
      <c r="L31" s="69" t="s">
        <v>56</v>
      </c>
      <c r="M31" s="69">
        <v>14001</v>
      </c>
      <c r="N31" s="69">
        <v>892345671</v>
      </c>
      <c r="O31" s="69" t="s">
        <v>57</v>
      </c>
      <c r="P31" s="71">
        <v>44446.931342592594</v>
      </c>
      <c r="Q31" s="79">
        <f t="shared" si="0"/>
        <v>200</v>
      </c>
      <c r="X31"/>
      <c r="Y31"/>
      <c r="AB31"/>
      <c r="AG31"/>
      <c r="AH31"/>
    </row>
    <row r="32" spans="1:35">
      <c r="A32" s="72" t="s">
        <v>101</v>
      </c>
      <c r="B32" s="75">
        <v>44442</v>
      </c>
      <c r="C32" s="69" t="s">
        <v>67</v>
      </c>
      <c r="D32" s="75">
        <v>44445</v>
      </c>
      <c r="E32" s="69" t="s">
        <v>12</v>
      </c>
      <c r="F32" s="72">
        <v>131</v>
      </c>
      <c r="G32" s="72">
        <v>3</v>
      </c>
      <c r="H32" s="72">
        <v>300</v>
      </c>
      <c r="I32" s="72">
        <v>100</v>
      </c>
      <c r="J32" s="72">
        <v>200</v>
      </c>
      <c r="K32" s="73" t="s">
        <v>77</v>
      </c>
      <c r="L32" s="69" t="s">
        <v>56</v>
      </c>
      <c r="M32" s="69">
        <v>14001</v>
      </c>
      <c r="N32" s="69">
        <v>892345671</v>
      </c>
      <c r="O32" s="69" t="s">
        <v>57</v>
      </c>
      <c r="P32" s="71">
        <v>44447.931342592594</v>
      </c>
      <c r="Q32" s="79">
        <f t="shared" si="0"/>
        <v>300</v>
      </c>
      <c r="X32"/>
      <c r="Y32"/>
      <c r="AB32"/>
      <c r="AG32"/>
      <c r="AH32"/>
    </row>
    <row r="33" spans="1:34">
      <c r="A33" s="72" t="s">
        <v>102</v>
      </c>
      <c r="B33" s="75">
        <v>44442</v>
      </c>
      <c r="C33" s="69" t="s">
        <v>67</v>
      </c>
      <c r="D33" s="75">
        <v>44446</v>
      </c>
      <c r="E33" s="69" t="s">
        <v>12</v>
      </c>
      <c r="F33" s="72">
        <v>132</v>
      </c>
      <c r="G33" s="72">
        <v>4</v>
      </c>
      <c r="H33" s="72">
        <v>400</v>
      </c>
      <c r="I33" s="72">
        <v>100</v>
      </c>
      <c r="J33" s="72">
        <v>300</v>
      </c>
      <c r="K33" s="73" t="s">
        <v>77</v>
      </c>
      <c r="L33" s="69" t="s">
        <v>56</v>
      </c>
      <c r="M33" s="69">
        <v>14001</v>
      </c>
      <c r="N33" s="69">
        <v>892345671</v>
      </c>
      <c r="O33" s="69" t="s">
        <v>57</v>
      </c>
      <c r="P33" s="71">
        <v>44448.931342592594</v>
      </c>
      <c r="Q33" s="79">
        <f t="shared" si="0"/>
        <v>400</v>
      </c>
      <c r="X33"/>
      <c r="Y33"/>
      <c r="AB33"/>
      <c r="AG33"/>
      <c r="AH33"/>
    </row>
    <row r="34" spans="1:34">
      <c r="A34" s="72" t="s">
        <v>108</v>
      </c>
      <c r="B34" s="75">
        <v>44471</v>
      </c>
      <c r="C34" s="72" t="s">
        <v>67</v>
      </c>
      <c r="D34" s="75">
        <v>44473</v>
      </c>
      <c r="E34" s="72" t="s">
        <v>12</v>
      </c>
      <c r="F34" s="72">
        <v>250</v>
      </c>
      <c r="G34" s="72">
        <v>2</v>
      </c>
      <c r="H34" s="72">
        <v>200</v>
      </c>
      <c r="I34" s="72">
        <v>100</v>
      </c>
      <c r="J34" s="72">
        <v>100</v>
      </c>
      <c r="K34" s="72" t="s">
        <v>109</v>
      </c>
      <c r="L34" s="72" t="s">
        <v>110</v>
      </c>
      <c r="M34" s="72">
        <v>140011</v>
      </c>
      <c r="N34" s="72">
        <v>123</v>
      </c>
      <c r="O34" s="72" t="s">
        <v>111</v>
      </c>
      <c r="P34" s="71">
        <v>44449.931342592594</v>
      </c>
      <c r="Q34" s="79">
        <v>200</v>
      </c>
      <c r="X34"/>
      <c r="Y34"/>
      <c r="AB34"/>
      <c r="AG34"/>
      <c r="AH34"/>
    </row>
    <row r="35" spans="1:34">
      <c r="A35" s="72" t="s">
        <v>108</v>
      </c>
      <c r="B35" s="75">
        <v>44471</v>
      </c>
      <c r="C35" s="72" t="s">
        <v>67</v>
      </c>
      <c r="D35" s="75">
        <v>44473</v>
      </c>
      <c r="E35" s="72" t="s">
        <v>12</v>
      </c>
      <c r="F35" s="72">
        <v>250</v>
      </c>
      <c r="G35" s="72">
        <v>2</v>
      </c>
      <c r="H35" s="72">
        <v>200</v>
      </c>
      <c r="I35" s="72">
        <v>100</v>
      </c>
      <c r="J35" s="72">
        <v>100</v>
      </c>
      <c r="K35" s="72" t="s">
        <v>109</v>
      </c>
      <c r="L35" s="72" t="s">
        <v>110</v>
      </c>
      <c r="M35" s="72">
        <v>140011</v>
      </c>
      <c r="N35" s="72">
        <v>123</v>
      </c>
      <c r="O35" s="72" t="s">
        <v>111</v>
      </c>
      <c r="P35" s="71">
        <v>44479.124895833331</v>
      </c>
      <c r="Q35" s="79"/>
      <c r="X35"/>
      <c r="Y35"/>
      <c r="AB35"/>
      <c r="AG35"/>
      <c r="AH35"/>
    </row>
    <row r="36" spans="1:34">
      <c r="A36" s="72" t="s">
        <v>108</v>
      </c>
      <c r="B36" s="75">
        <v>44471</v>
      </c>
      <c r="C36" s="72" t="s">
        <v>67</v>
      </c>
      <c r="D36" s="75">
        <v>44473</v>
      </c>
      <c r="E36" s="72" t="s">
        <v>12</v>
      </c>
      <c r="F36" s="72">
        <v>250</v>
      </c>
      <c r="G36" s="72">
        <v>2</v>
      </c>
      <c r="H36" s="72">
        <v>200</v>
      </c>
      <c r="I36" s="72">
        <v>100</v>
      </c>
      <c r="J36" s="72">
        <v>100</v>
      </c>
      <c r="K36" s="72" t="s">
        <v>109</v>
      </c>
      <c r="L36" s="72" t="s">
        <v>110</v>
      </c>
      <c r="M36" s="72">
        <v>140011</v>
      </c>
      <c r="N36" s="72">
        <v>123</v>
      </c>
      <c r="O36" s="72" t="s">
        <v>111</v>
      </c>
      <c r="P36" s="74">
        <v>44479.125509259262</v>
      </c>
      <c r="Q36" s="79"/>
      <c r="X36"/>
      <c r="Y36"/>
      <c r="AB36"/>
      <c r="AG36"/>
      <c r="AH36"/>
    </row>
    <row r="37" spans="1:34">
      <c r="Q37" s="79"/>
      <c r="X37"/>
      <c r="Y37"/>
      <c r="AB37"/>
      <c r="AG37"/>
      <c r="AH37"/>
    </row>
    <row r="38" spans="1:34">
      <c r="Q38" s="79"/>
      <c r="X38"/>
      <c r="Y38"/>
      <c r="AB38"/>
      <c r="AG38"/>
      <c r="AH38"/>
    </row>
    <row r="39" spans="1:34">
      <c r="Q39" s="79"/>
      <c r="X39"/>
      <c r="Y39"/>
      <c r="AB39"/>
      <c r="AG39"/>
      <c r="AH39"/>
    </row>
    <row r="40" spans="1:34">
      <c r="Q40" s="79"/>
      <c r="X40"/>
      <c r="Y40"/>
      <c r="AB40"/>
      <c r="AG40"/>
      <c r="AH40"/>
    </row>
    <row r="41" spans="1:34">
      <c r="Q41" s="79"/>
      <c r="X41"/>
      <c r="Y41"/>
      <c r="AB41"/>
      <c r="AG41"/>
      <c r="AH41"/>
    </row>
    <row r="42" spans="1:34">
      <c r="Q42" s="79"/>
      <c r="X42"/>
      <c r="Y42"/>
      <c r="AB42"/>
      <c r="AG42"/>
      <c r="AH42"/>
    </row>
    <row r="43" spans="1:34">
      <c r="Q43" s="79"/>
      <c r="X43"/>
      <c r="Y43"/>
    </row>
    <row r="44" spans="1:34">
      <c r="Q44" s="79"/>
      <c r="X44"/>
      <c r="Y44"/>
    </row>
    <row r="45" spans="1:34">
      <c r="Q45" s="79"/>
      <c r="X45"/>
      <c r="Y45"/>
    </row>
    <row r="46" spans="1:34">
      <c r="Q46" s="79"/>
      <c r="X46"/>
      <c r="Y46"/>
    </row>
    <row r="47" spans="1:34">
      <c r="Q47" s="79"/>
      <c r="X47"/>
      <c r="Y47"/>
    </row>
    <row r="48" spans="1:34">
      <c r="Q48" s="79"/>
    </row>
    <row r="49" spans="17:17">
      <c r="Q49" s="79"/>
    </row>
    <row r="50" spans="17:17">
      <c r="Q50" s="79"/>
    </row>
    <row r="51" spans="17:17">
      <c r="Q51" s="79"/>
    </row>
    <row r="52" spans="17:17">
      <c r="Q52" s="79"/>
    </row>
    <row r="53" spans="17:17">
      <c r="Q53" s="79"/>
    </row>
    <row r="54" spans="17:17">
      <c r="Q54" s="79"/>
    </row>
    <row r="55" spans="17:17">
      <c r="Q55" s="79"/>
    </row>
    <row r="56" spans="17:17">
      <c r="Q56" s="79"/>
    </row>
    <row r="57" spans="17:17">
      <c r="Q57" s="79"/>
    </row>
    <row r="58" spans="17:17">
      <c r="Q58" s="79"/>
    </row>
    <row r="59" spans="17:17">
      <c r="Q59" s="79"/>
    </row>
    <row r="60" spans="17:17">
      <c r="Q60" s="79"/>
    </row>
    <row r="61" spans="17:17">
      <c r="Q61" s="79"/>
    </row>
    <row r="62" spans="17:17">
      <c r="Q62" s="79"/>
    </row>
    <row r="63" spans="17:17">
      <c r="Q63" s="79"/>
    </row>
    <row r="64" spans="17:17">
      <c r="Q64" s="79"/>
    </row>
    <row r="65" spans="17:17">
      <c r="Q65" s="79"/>
    </row>
    <row r="66" spans="17:17">
      <c r="Q66" s="79"/>
    </row>
    <row r="67" spans="17:17">
      <c r="Q67" s="79"/>
    </row>
    <row r="68" spans="17:17">
      <c r="Q68" s="79"/>
    </row>
    <row r="69" spans="17:17">
      <c r="Q69" s="79"/>
    </row>
    <row r="70" spans="17:17">
      <c r="Q70" s="79"/>
    </row>
    <row r="71" spans="17:17">
      <c r="Q71" s="79"/>
    </row>
    <row r="72" spans="17:17">
      <c r="Q72" s="79"/>
    </row>
    <row r="73" spans="17:17">
      <c r="Q73" s="79"/>
    </row>
    <row r="74" spans="17:17">
      <c r="Q74" s="79"/>
    </row>
    <row r="75" spans="17:17">
      <c r="Q75" s="79"/>
    </row>
    <row r="76" spans="17:17">
      <c r="Q76" s="79"/>
    </row>
    <row r="77" spans="17:17">
      <c r="Q77" s="79"/>
    </row>
    <row r="78" spans="17:17">
      <c r="Q78" s="79"/>
    </row>
    <row r="79" spans="17:17">
      <c r="Q79" s="79"/>
    </row>
    <row r="80" spans="17:17">
      <c r="Q80" s="79"/>
    </row>
    <row r="81" spans="17:17">
      <c r="Q81" s="79"/>
    </row>
    <row r="82" spans="17:17">
      <c r="Q82" s="79"/>
    </row>
    <row r="83" spans="17:17">
      <c r="Q83" s="79"/>
    </row>
    <row r="84" spans="17:17">
      <c r="Q84" s="79"/>
    </row>
    <row r="85" spans="17:17">
      <c r="Q85" s="79"/>
    </row>
    <row r="86" spans="17:17">
      <c r="Q86" s="79"/>
    </row>
    <row r="87" spans="17:17">
      <c r="Q87" s="79"/>
    </row>
    <row r="88" spans="17:17">
      <c r="Q88" s="79"/>
    </row>
    <row r="89" spans="17:17">
      <c r="Q89" s="79"/>
    </row>
    <row r="90" spans="17:17">
      <c r="Q90" s="79"/>
    </row>
    <row r="91" spans="17:17">
      <c r="Q91" s="79"/>
    </row>
    <row r="92" spans="17:17">
      <c r="Q92" s="79"/>
    </row>
    <row r="93" spans="17:17">
      <c r="Q93" s="79"/>
    </row>
    <row r="94" spans="17:17">
      <c r="Q94" s="79"/>
    </row>
    <row r="95" spans="17:17">
      <c r="Q95" s="79"/>
    </row>
    <row r="96" spans="17:17">
      <c r="Q96" s="79"/>
    </row>
  </sheetData>
  <hyperlinks>
    <hyperlink ref="K3" r:id="rId2" xr:uid="{58F806A0-19F3-495E-AD6F-C75D5FCDEC2E}"/>
    <hyperlink ref="K4:K23" r:id="rId3" display="test2@gmail.com" xr:uid="{1ABA961D-B7C2-4790-B43B-47F7BBBB0706}"/>
    <hyperlink ref="K24" r:id="rId4" xr:uid="{E3AEB630-A022-44DA-B7F4-E7E54A51AB5D}"/>
    <hyperlink ref="K25:K30" r:id="rId5" display="test2@gmail.com" xr:uid="{659B2BF7-EE42-4B39-93AE-CFF8141BB842}"/>
    <hyperlink ref="K32:K33" r:id="rId6" display="test2@gmail.com" xr:uid="{E3D4B8C3-4BF7-4478-98BA-7499F3558CA9}"/>
    <hyperlink ref="K31" r:id="rId7" xr:uid="{265D542F-8B5B-467D-BC33-1B4F5EE9ECE1}"/>
  </hyperlinks>
  <pageMargins left="0.7" right="0.7" top="0.75" bottom="0.75" header="0.3" footer="0.3"/>
  <drawing r:id="rId8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17</vt:i4>
      </vt:variant>
    </vt:vector>
  </HeadingPairs>
  <TitlesOfParts>
    <vt:vector size="21" baseType="lpstr">
      <vt:lpstr>Hotel</vt:lpstr>
      <vt:lpstr>Data</vt:lpstr>
      <vt:lpstr>Invoice</vt:lpstr>
      <vt:lpstr>Analysis</vt:lpstr>
      <vt:lpstr>Additional_Cost</vt:lpstr>
      <vt:lpstr>Advance</vt:lpstr>
      <vt:lpstr>Arrival</vt:lpstr>
      <vt:lpstr>Days</vt:lpstr>
      <vt:lpstr>Days_Cost</vt:lpstr>
      <vt:lpstr>Email_Id</vt:lpstr>
      <vt:lpstr>End</vt:lpstr>
      <vt:lpstr>Home_Address</vt:lpstr>
      <vt:lpstr>Identity_Proof</vt:lpstr>
      <vt:lpstr>Lastmodi</vt:lpstr>
      <vt:lpstr>Name</vt:lpstr>
      <vt:lpstr>Phone_Number</vt:lpstr>
      <vt:lpstr>Pincode</vt:lpstr>
      <vt:lpstr>RoomNo</vt:lpstr>
      <vt:lpstr>Status</vt:lpstr>
      <vt:lpstr>Total</vt:lpstr>
      <vt:lpstr>UpdateStatus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Avinash</dc:creator>
  <cp:lastModifiedBy>Avinash</cp:lastModifiedBy>
  <cp:lastPrinted>2021-10-09T16:21:33Z</cp:lastPrinted>
  <dcterms:created xsi:type="dcterms:W3CDTF">2021-10-08T08:41:44Z</dcterms:created>
  <dcterms:modified xsi:type="dcterms:W3CDTF">2021-10-09T21:44:16Z</dcterms:modified>
</cp:coreProperties>
</file>